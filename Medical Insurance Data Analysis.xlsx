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2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ce7460ae4265a3/Desktop/Ashwin CloudyML/"/>
    </mc:Choice>
  </mc:AlternateContent>
  <xr:revisionPtr revIDLastSave="379" documentId="8_{D4D71E5E-41E2-487C-9AFF-6EC3A9788752}" xr6:coauthVersionLast="47" xr6:coauthVersionMax="47" xr10:uidLastSave="{A30E1FFD-DF38-441D-BE5B-D5BA63DDF2D7}"/>
  <bookViews>
    <workbookView xWindow="-108" yWindow="-108" windowWidth="23256" windowHeight="12456" activeTab="9" xr2:uid="{81E0D3E2-1718-4209-9A58-F3C6DDBEAEF8}"/>
  </bookViews>
  <sheets>
    <sheet name="DATA SHEET" sheetId="1" r:id="rId1"/>
    <sheet name="Q1" sheetId="2" r:id="rId2"/>
    <sheet name="Q2" sheetId="3" r:id="rId3"/>
    <sheet name="Q3" sheetId="4" r:id="rId4"/>
    <sheet name="Q4" sheetId="7" r:id="rId5"/>
    <sheet name="Q5" sheetId="5" r:id="rId6"/>
    <sheet name="Q6" sheetId="6" r:id="rId7"/>
    <sheet name="Q7" sheetId="8" r:id="rId8"/>
    <sheet name="Q8" sheetId="9" r:id="rId9"/>
    <sheet name="Q9" sheetId="10" r:id="rId10"/>
    <sheet name="Dashboard" sheetId="11" r:id="rId11"/>
  </sheets>
  <definedNames>
    <definedName name="_xlchart.v1.0" hidden="1">'Q6'!$F$2:$F$1339</definedName>
    <definedName name="_xlchart.v1.1" hidden="1">'Q6'!$G$1</definedName>
    <definedName name="_xlchart.v1.2" hidden="1">'Q6'!$G$2:$G$1339</definedName>
    <definedName name="_xlchart.v1.3" hidden="1">'Q6'!$F$2:$F$1339</definedName>
    <definedName name="_xlchart.v1.4" hidden="1">'Q6'!$G$1</definedName>
    <definedName name="_xlchart.v1.5" hidden="1">'Q6'!$G$2:$G$1339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9" l="1"/>
  <c r="L10" i="8"/>
  <c r="L9" i="8"/>
  <c r="L8" i="8"/>
  <c r="L7" i="8"/>
  <c r="K13" i="7"/>
  <c r="L21" i="2"/>
  <c r="L20" i="2"/>
  <c r="L19" i="2"/>
  <c r="L15" i="2"/>
  <c r="L14" i="2"/>
  <c r="L13" i="2"/>
  <c r="L9" i="2"/>
  <c r="L7" i="2"/>
  <c r="L8" i="2"/>
</calcChain>
</file>

<file path=xl/sharedStrings.xml><?xml version="1.0" encoding="utf-8"?>
<sst xmlns="http://schemas.openxmlformats.org/spreadsheetml/2006/main" count="40289" uniqueCount="56">
  <si>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</si>
  <si>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</si>
  <si>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</si>
  <si>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</si>
  <si>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</si>
  <si>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</si>
  <si>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</si>
  <si>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</si>
  <si>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</si>
  <si>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</si>
  <si>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</si>
  <si>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</si>
  <si>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</si>
  <si>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Average of Charges</t>
  </si>
  <si>
    <t>Average of Bmi</t>
  </si>
  <si>
    <t>northwest</t>
  </si>
  <si>
    <t>northeast</t>
  </si>
  <si>
    <t>Grand Total</t>
  </si>
  <si>
    <t>AVERAGE</t>
  </si>
  <si>
    <t>Avg Age</t>
  </si>
  <si>
    <t>Avg Bmi</t>
  </si>
  <si>
    <t>Avg M Charges</t>
  </si>
  <si>
    <t>MEDIAN</t>
  </si>
  <si>
    <t>Median Age</t>
  </si>
  <si>
    <t>Median Bmi</t>
  </si>
  <si>
    <t>Median M Charges</t>
  </si>
  <si>
    <t>STANDARD DEVIATION</t>
  </si>
  <si>
    <t>STD Age</t>
  </si>
  <si>
    <t>STD Bmi</t>
  </si>
  <si>
    <t>STD M Charges</t>
  </si>
  <si>
    <t>Sum of Charges</t>
  </si>
  <si>
    <t>SEX</t>
  </si>
  <si>
    <t>GENDER ANALYSIS</t>
  </si>
  <si>
    <t>Average Medical Charges</t>
  </si>
  <si>
    <t>DEPENDENTS/CHILDREN</t>
  </si>
  <si>
    <t>USING CORREL FUNCTION</t>
  </si>
  <si>
    <t>Basic Statistics and Data Understanding</t>
  </si>
  <si>
    <t xml:space="preserve"> Impact of Smoking on Costs</t>
  </si>
  <si>
    <t>Dependents Analysis</t>
  </si>
  <si>
    <t>Geographical Insights</t>
  </si>
  <si>
    <t xml:space="preserve"> Cost Distribution Analysis</t>
  </si>
  <si>
    <t xml:space="preserve"> BMI Classification</t>
  </si>
  <si>
    <t>Underweights</t>
  </si>
  <si>
    <t>Normal</t>
  </si>
  <si>
    <t>Overweights</t>
  </si>
  <si>
    <t>Obese</t>
  </si>
  <si>
    <t>&lt;18.5</t>
  </si>
  <si>
    <t>18.5-24.9</t>
  </si>
  <si>
    <t>25-29.9</t>
  </si>
  <si>
    <t>30+</t>
  </si>
  <si>
    <t>Range</t>
  </si>
  <si>
    <t>Category</t>
  </si>
  <si>
    <t>Count</t>
  </si>
  <si>
    <t>Advanced Correlation Analysis</t>
  </si>
  <si>
    <t>Smoker Region</t>
  </si>
  <si>
    <t>Smoking and Region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</si>
</sst>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1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6" fillId="33" borderId="10" xfId="0" applyFont="1" applyFill="1" applyBorder="1"/>
    <xf numFmtId="2" fontId="16" fillId="33" borderId="10" xfId="0" applyNumberFormat="1" applyFont="1" applyFill="1" applyBorder="1"/>
    <xf numFmtId="0" fontId="18" fillId="33" borderId="10" xfId="0" applyFont="1" applyFill="1" applyBorder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0" fillId="0" borderId="0" xfId="0" applyNumberFormat="1"/>
    <xf numFmtId="0" fontId="23" fillId="0" borderId="0" xfId="0" applyFon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/>
              <a:t>AVERAGE</a:t>
            </a:r>
            <a:r>
              <a:rPr lang="en-IN" sz="1400" baseline="0"/>
              <a:t>S FOR AGE, BMI &amp; MONTHLY CHARGES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'Q1'!$K$7:$K$9</c:f>
              <c:strCache>
                <c:ptCount val="3"/>
                <c:pt idx="0">
                  <c:v>Avg Age</c:v>
                </c:pt>
                <c:pt idx="1">
                  <c:v>Avg Bmi</c:v>
                </c:pt>
                <c:pt idx="2">
                  <c:v>Avg M Charges</c:v>
                </c:pt>
              </c:strCache>
            </c:strRef>
          </c:cat>
          <c:val>
            <c:numRef>
              <c:f>'Q1'!$L$7:$L$9</c:f>
              <c:numCache>
                <c:formatCode>0.00</c:formatCode>
                <c:ptCount val="3"/>
                <c:pt idx="0">
                  <c:v>39.207025411061288</c:v>
                </c:pt>
                <c:pt idx="1">
                  <c:v>30.663396860986538</c:v>
                </c:pt>
                <c:pt idx="2">
                  <c:v>13270.422265141257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1-4C24-9083-3D7DE8857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1218720"/>
        <c:axId val="391211040"/>
        <c:axId val="0"/>
      </c:bar3DChart>
      <c:catAx>
        <c:axId val="3912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11040"/>
        <c:crosses val="autoZero"/>
        <c:auto val="1"/>
        <c:lblAlgn val="ctr"/>
        <c:lblOffset val="100"/>
        <c:noMultiLvlLbl val="0"/>
      </c:catAx>
      <c:valAx>
        <c:axId val="3912110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1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cap="all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MEDIAN FOR AGE, BMI &amp; MONTHLY CHARGES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/>
                </a:solidFill>
              </a:defRPr>
            </a:pP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cap="all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'Q1'!$K$13:$K$15</c:f>
              <c:strCache>
                <c:ptCount val="3"/>
                <c:pt idx="0">
                  <c:v>Median Age</c:v>
                </c:pt>
                <c:pt idx="1">
                  <c:v>Median Bmi</c:v>
                </c:pt>
                <c:pt idx="2">
                  <c:v>Median M Charges</c:v>
                </c:pt>
              </c:strCache>
            </c:strRef>
          </c:cat>
          <c:val>
            <c:numRef>
              <c:f>'Q1'!$L$13:$L$15</c:f>
              <c:numCache>
                <c:formatCode>0.00</c:formatCode>
                <c:ptCount val="3"/>
                <c:pt idx="0">
                  <c:v>39</c:v>
                </c:pt>
                <c:pt idx="1">
                  <c:v>30.4</c:v>
                </c:pt>
                <c:pt idx="2">
                  <c:v>9382.0329999999994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9-48B7-9491-4F352F7A67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91204320"/>
        <c:axId val="391214400"/>
        <c:axId val="0"/>
      </c:bar3DChart>
      <c:catAx>
        <c:axId val="39120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14400"/>
        <c:crosses val="autoZero"/>
        <c:auto val="1"/>
        <c:lblAlgn val="ctr"/>
        <c:lblOffset val="100"/>
        <c:noMultiLvlLbl val="0"/>
      </c:catAx>
      <c:valAx>
        <c:axId val="39121440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39120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cap="all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STANDARD DEVIATION FOR AGE, BMI &amp; MONTHLY CHARGES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/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cap="all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'Q1'!$K$19:$K$21</c:f>
              <c:strCache>
                <c:ptCount val="3"/>
                <c:pt idx="0">
                  <c:v>STD Age</c:v>
                </c:pt>
                <c:pt idx="1">
                  <c:v>STD Bmi</c:v>
                </c:pt>
                <c:pt idx="2">
                  <c:v>STD M Charges</c:v>
                </c:pt>
              </c:strCache>
            </c:strRef>
          </c:cat>
          <c:val>
            <c:numRef>
              <c:f>'Q1'!$L$19:$L$21</c:f>
              <c:numCache>
                <c:formatCode>0.00</c:formatCode>
                <c:ptCount val="3"/>
                <c:pt idx="0">
                  <c:v>14.044709038954522</c:v>
                </c:pt>
                <c:pt idx="1">
                  <c:v>6.0959076415893865</c:v>
                </c:pt>
                <c:pt idx="2">
                  <c:v>12105.484975561621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4-431C-884B-DDD3D4DF4C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37938896"/>
        <c:axId val="337941296"/>
        <c:axId val="0"/>
      </c:bar3DChart>
      <c:catAx>
        <c:axId val="33793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1296"/>
        <c:crosses val="autoZero"/>
        <c:auto val="1"/>
        <c:lblAlgn val="ctr"/>
        <c:lblOffset val="100"/>
        <c:noMultiLvlLbl val="0"/>
      </c:catAx>
      <c:valAx>
        <c:axId val="337941296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33793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MEDICAL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'Q2'!$K$6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'Q2'!$J$7:$J$9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'Q2'!$K$7:$K$9</c:f>
              <c:numCache>
                <c:formatCode>0.00</c:formatCode>
                <c:ptCount val="2"/>
                <c:pt idx="0">
                  <c:v>12569.578843835339</c:v>
                </c:pt>
                <c:pt idx="1">
                  <c:v>13956.751177721886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F-4966-B9BD-261A33200C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91208640"/>
        <c:axId val="391209120"/>
      </c:barChart>
      <c:catAx>
        <c:axId val="3912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09120"/>
        <c:crosses val="autoZero"/>
        <c:auto val="1"/>
        <c:lblAlgn val="ctr"/>
        <c:lblOffset val="100"/>
        <c:noMultiLvlLbl val="0"/>
      </c:catAx>
      <c:valAx>
        <c:axId val="39120912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0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OF BMI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44884801444193"/>
          <c:y val="0.27458114610673667"/>
          <c:w val="0.87755115198555811"/>
          <c:h val="0.52644757946923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'Q2'!$K$12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'Q2'!$J$13:$J$15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'Q2'!$K$13:$K$15</c:f>
              <c:numCache>
                <c:formatCode>0.00</c:formatCode>
                <c:ptCount val="2"/>
                <c:pt idx="0">
                  <c:v>30.377749244713023</c:v>
                </c:pt>
                <c:pt idx="1">
                  <c:v>30.943128698224832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3-4CAB-A46F-AAACBD9933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47948752"/>
        <c:axId val="2047956432"/>
      </c:barChart>
      <c:catAx>
        <c:axId val="204794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56432"/>
        <c:crosses val="autoZero"/>
        <c:auto val="1"/>
        <c:lblAlgn val="ctr"/>
        <c:lblOffset val="100"/>
        <c:noMultiLvlLbl val="0"/>
      </c:catAx>
      <c:valAx>
        <c:axId val="204795643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4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Analysis.xlsx]Q3!PivotTable4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AVERAGE</a:t>
            </a:r>
            <a:r>
              <a:rPr lang="en-US" sz="1200" baseline="0"/>
              <a:t> COST OF SMOKERS vs NON-SMOKERS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'Q3'!$K$6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BF-47E3-B170-2ED0CFB4F7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BF-47E3-B170-2ED0CFB4F79C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'Q3'!$J$7:$J$9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'Q3'!$K$7:$K$9</c:f>
              <c:numCache>
                <c:formatCode>0.00</c:formatCode>
                <c:ptCount val="2"/>
                <c:pt idx="0">
                  <c:v>8434.2682978561988</c:v>
                </c:pt>
                <c:pt idx="1">
                  <c:v>32050.231831532848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6-4065-86BA-6BE39091D3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Analysis.xlsx]Q3!PivotTable4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AVERAGE COST OF SMOKERS vs NON-SMOKERS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621981627296587"/>
          <c:y val="0.28611579434923573"/>
          <c:w val="0.83322462817147858"/>
          <c:h val="0.5414222633935463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'Q3'!$K$6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'Q3'!$J$7:$J$9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'Q3'!$K$7:$K$9</c:f>
              <c:numCache>
                <c:formatCode>0.00</c:formatCode>
                <c:ptCount val="2"/>
                <c:pt idx="0">
                  <c:v>8434.2682978561988</c:v>
                </c:pt>
                <c:pt idx="1">
                  <c:v>32050.231831532848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D-4ADA-84CE-3E79803963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91216800"/>
        <c:axId val="337949456"/>
        <c:axId val="0"/>
      </c:bar3DChart>
      <c:catAx>
        <c:axId val="39121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9456"/>
        <c:crosses val="autoZero"/>
        <c:auto val="1"/>
        <c:lblAlgn val="ctr"/>
        <c:lblOffset val="100"/>
        <c:noMultiLvlLbl val="0"/>
      </c:catAx>
      <c:valAx>
        <c:axId val="33794945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1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Analysis.xlsx]Q4!PivotTable7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DEPENDENTS vs AVERAGE MEDICAL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'Q4'!$K$17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'Q4'!$J$18:$J$24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'Q4'!$K$18:$K$24</c:f>
              <c:numCache>
                <c:formatCode>0.00</c:formatCode>
                <c:ptCount val="6"/>
                <c:pt idx="0">
                  <c:v>12365.975601635882</c:v>
                </c:pt>
                <c:pt idx="1">
                  <c:v>12731.171831635793</c:v>
                </c:pt>
                <c:pt idx="2">
                  <c:v>15073.563733958328</c:v>
                </c:pt>
                <c:pt idx="3">
                  <c:v>15355.31836681528</c:v>
                </c:pt>
                <c:pt idx="4">
                  <c:v>13850.656311199999</c:v>
                </c:pt>
                <c:pt idx="5">
                  <c:v>8786.0352472222221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2-4D90-BDB1-1FD4AB45E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3112288"/>
        <c:axId val="337949936"/>
      </c:barChart>
      <c:catAx>
        <c:axId val="43311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DEPENDENTS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9936"/>
        <c:crosses val="autoZero"/>
        <c:auto val="1"/>
        <c:lblAlgn val="ctr"/>
        <c:lblOffset val="100"/>
        <c:noMultiLvlLbl val="0"/>
      </c:catAx>
      <c:valAx>
        <c:axId val="33794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 MEDICAL CHARGES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Analysis.xlsx]Q5!PivotTable5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AVERAGE BMI VS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'Q5'!$J$5</c:f>
              <c:strCache>
                <c:ptCount val="1"/>
                <c:pt idx="0">
                  <c:v>Average of Bmi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'Q5'!$I$6:$I$10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'Q5'!$J$6:$J$10</c:f>
              <c:numCache>
                <c:formatCode>0.00</c:formatCode>
                <c:ptCount val="4"/>
                <c:pt idx="0">
                  <c:v>29.17350308641976</c:v>
                </c:pt>
                <c:pt idx="1">
                  <c:v>29.199784615384626</c:v>
                </c:pt>
                <c:pt idx="2">
                  <c:v>33.355989010989028</c:v>
                </c:pt>
                <c:pt idx="3">
                  <c:v>30.596615384615379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1-4C75-AA7A-0AFC966F5CB8}"/>
            </c:ext>
          </c:extLst>
        </c:ser>
        <c:ser>
          <c:idx val="1"/>
          <c:order val="1"/>
          <c:tx>
            <c:strRef>
              <c:f>'Q5'!$K$5</c:f>
              <c:strCache>
                <c:ptCount val="1"/>
                <c:pt idx="0">
                  <c:v>Average of Charges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'Q5'!$I$6:$I$10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'Q5'!$K$6:$K$10</c:f>
              <c:numCache>
                <c:formatCode>0.00</c:formatCode>
                <c:ptCount val="4"/>
                <c:pt idx="0">
                  <c:v>13406.3845163858</c:v>
                </c:pt>
                <c:pt idx="1">
                  <c:v>12417.575373969228</c:v>
                </c:pt>
                <c:pt idx="2">
                  <c:v>14735.411437609895</c:v>
                </c:pt>
                <c:pt idx="3">
                  <c:v>12346.93737729231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1-4C75-AA7A-0AFC966F5C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433113248"/>
        <c:axId val="433113728"/>
        <c:axId val="0"/>
      </c:bar3DChart>
      <c:catAx>
        <c:axId val="43311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3728"/>
        <c:crosses val="autoZero"/>
        <c:auto val="1"/>
        <c:lblAlgn val="ctr"/>
        <c:lblOffset val="100"/>
        <c:noMultiLvlLbl val="0"/>
      </c:catAx>
      <c:valAx>
        <c:axId val="433113728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43311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BMI</a:t>
            </a:r>
            <a:r>
              <a:rPr lang="en-US" baseline="0"/>
              <a:t> CLASSIFICATION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'Q7'!$J$7:$K$7</c:f>
              <c:strCache>
                <c:ptCount val="2"/>
                <c:pt idx="0">
                  <c:v>&lt;18.5</c:v>
                </c:pt>
                <c:pt idx="1">
                  <c:v>Underweights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'Q7'!$L$6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'Q7'!$L$7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2-4A25-8669-0BA4DBD1787F}"/>
            </c:ext>
          </c:extLst>
        </c:ser>
        <c:ser>
          <c:idx val="1"/>
          <c:order val="1"/>
          <c:tx>
            <c:strRef>
              <c:f>'Q7'!$J$8:$K$8</c:f>
              <c:strCache>
                <c:ptCount val="2"/>
                <c:pt idx="0">
                  <c:v>18.5-24.9</c:v>
                </c:pt>
                <c:pt idx="1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'Q7'!$L$6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'Q7'!$L$8</c:f>
              <c:numCache>
                <c:formatCode>General</c:formatCode>
                <c:ptCount val="1"/>
                <c:pt idx="0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42-4A25-8669-0BA4DBD1787F}"/>
            </c:ext>
          </c:extLst>
        </c:ser>
        <c:ser>
          <c:idx val="2"/>
          <c:order val="2"/>
          <c:tx>
            <c:strRef>
              <c:f>'Q7'!$J$9:$K$9</c:f>
              <c:strCache>
                <c:ptCount val="2"/>
                <c:pt idx="0">
                  <c:v>25-29.9</c:v>
                </c:pt>
                <c:pt idx="1">
                  <c:v>Overweights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'Q7'!$L$6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'Q7'!$L$9</c:f>
              <c:numCache>
                <c:formatCode>General</c:formatCode>
                <c:ptCount val="1"/>
                <c:pt idx="0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42-4A25-8669-0BA4DBD1787F}"/>
            </c:ext>
          </c:extLst>
        </c:ser>
        <c:ser>
          <c:idx val="3"/>
          <c:order val="3"/>
          <c:tx>
            <c:strRef>
              <c:f>'Q7'!$J$10:$K$10</c:f>
              <c:strCache>
                <c:ptCount val="2"/>
                <c:pt idx="0">
                  <c:v>30+</c:v>
                </c:pt>
                <c:pt idx="1">
                  <c:v>Obese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'Q7'!$L$6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'Q7'!$L$10</c:f>
              <c:numCache>
                <c:formatCode>General</c:formatCode>
                <c:ptCount val="1"/>
                <c:pt idx="0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42-4A25-8669-0BA4DBD178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3948928"/>
        <c:axId val="523949408"/>
      </c:barChart>
      <c:valAx>
        <c:axId val="52394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48928"/>
        <c:crosses val="autoZero"/>
        <c:crossBetween val="between"/>
      </c:valAx>
      <c:catAx>
        <c:axId val="523948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4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</a:t>
            </a:r>
            <a:r>
              <a:rPr lang="en-US" baseline="0"/>
              <a:t> vs MEDICAL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'Q8'!$G$1</c:f>
              <c:strCache>
                <c:ptCount val="1"/>
                <c:pt idx="0">
                  <c:v>Charges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sq" cmpd="sng">
                <a:solidFill>
                  <a:srgbClr val="FF0000">
                    <a:alpha val="70000"/>
                  </a:srgbClr>
                </a:solidFill>
                <a:headEnd type="none"/>
                <a:tailEnd type="oval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  <a:headEnd w="sm" len="sm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'Q8'!$C$2:$C$1339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'Q8'!$G$2:$G$1339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7A-4A33-865A-1B01704AE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744592"/>
        <c:axId val="220745552"/>
      </c:scatterChart>
      <c:valAx>
        <c:axId val="2207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45552"/>
        <c:crosses val="autoZero"/>
        <c:crossBetween val="midCat"/>
      </c:valAx>
      <c:valAx>
        <c:axId val="2207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4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'Q9'!$I$14:$I$17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'Q9'!$J$14:$J$17</c:f>
              <c:numCache>
                <c:formatCode>General</c:formatCode>
                <c:ptCount val="4"/>
                <c:pt idx="0">
                  <c:v>1988126.9436799996</c:v>
                </c:pt>
                <c:pt idx="1">
                  <c:v>1751136.1845799994</c:v>
                </c:pt>
                <c:pt idx="2">
                  <c:v>3170894.7109500007</c:v>
                </c:pt>
                <c:pt idx="3">
                  <c:v>1871605.6826299995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9-478E-8919-DDBA9BAB90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45204528"/>
        <c:axId val="545205008"/>
      </c:barChart>
      <c:catAx>
        <c:axId val="545204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05008"/>
        <c:crosses val="autoZero"/>
        <c:auto val="1"/>
        <c:lblAlgn val="ctr"/>
        <c:lblOffset val="100"/>
        <c:noMultiLvlLbl val="0"/>
      </c:catAx>
      <c:valAx>
        <c:axId val="54520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0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Analysis.xlsx]Q3!PivotTable4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AVERAGE COST OF SMOKERS vs NON-SMOKERS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'Q3'!$K$6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'Q3'!$J$7:$J$9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'Q3'!$K$7:$K$9</c:f>
              <c:numCache>
                <c:formatCode>0.00</c:formatCode>
                <c:ptCount val="2"/>
                <c:pt idx="0">
                  <c:v>8434.2682978561988</c:v>
                </c:pt>
                <c:pt idx="1">
                  <c:v>32050.231831532848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4-45AB-A444-2C28CA9A0B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91216800"/>
        <c:axId val="337949456"/>
        <c:axId val="0"/>
      </c:bar3DChart>
      <c:catAx>
        <c:axId val="39121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9456"/>
        <c:crosses val="autoZero"/>
        <c:auto val="1"/>
        <c:lblAlgn val="ctr"/>
        <c:lblOffset val="100"/>
        <c:noMultiLvlLbl val="0"/>
      </c:catAx>
      <c:valAx>
        <c:axId val="33794945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1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Analysis.xlsx]Q4!PivotTable7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DEPENDENTS vs AVERAGE MEDICAL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'Q4'!$K$17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'Q4'!$J$18:$J$24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'Q4'!$K$18:$K$24</c:f>
              <c:numCache>
                <c:formatCode>0.00</c:formatCode>
                <c:ptCount val="6"/>
                <c:pt idx="0">
                  <c:v>12365.975601635882</c:v>
                </c:pt>
                <c:pt idx="1">
                  <c:v>12731.171831635793</c:v>
                </c:pt>
                <c:pt idx="2">
                  <c:v>15073.563733958328</c:v>
                </c:pt>
                <c:pt idx="3">
                  <c:v>15355.31836681528</c:v>
                </c:pt>
                <c:pt idx="4">
                  <c:v>13850.656311199999</c:v>
                </c:pt>
                <c:pt idx="5">
                  <c:v>8786.0352472222221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9-43EB-AABB-119A6DEFE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3112288"/>
        <c:axId val="337949936"/>
      </c:barChart>
      <c:catAx>
        <c:axId val="43311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DEPENDENTS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9936"/>
        <c:crosses val="autoZero"/>
        <c:auto val="1"/>
        <c:lblAlgn val="ctr"/>
        <c:lblOffset val="100"/>
        <c:noMultiLvlLbl val="0"/>
      </c:catAx>
      <c:valAx>
        <c:axId val="33794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 MEDICAL CHARGES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Analysis.xlsx]Q3!PivotTable4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AVERAGE</a:t>
            </a:r>
            <a:r>
              <a:rPr lang="en-US" sz="1200" baseline="0"/>
              <a:t> COST OF SMOKERS vs NON-SMOKERS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'Q3'!$K$6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FF-42E2-B926-67DB2D3B661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FF-42E2-B926-67DB2D3B6612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'Q3'!$J$7:$J$9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'Q3'!$K$7:$K$9</c:f>
              <c:numCache>
                <c:formatCode>0.00</c:formatCode>
                <c:ptCount val="2"/>
                <c:pt idx="0">
                  <c:v>8434.2682978561988</c:v>
                </c:pt>
                <c:pt idx="1">
                  <c:v>32050.231831532848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FF-42E2-B926-67DB2D3B661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 Insurance Data Analysis.xlsx]Q5!PivotTable5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AVERAGE BMI VS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'Q5'!$J$5</c:f>
              <c:strCache>
                <c:ptCount val="1"/>
                <c:pt idx="0">
                  <c:v>Average of Bmi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'Q5'!$I$6:$I$10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'Q5'!$J$6:$J$10</c:f>
              <c:numCache>
                <c:formatCode>0.00</c:formatCode>
                <c:ptCount val="4"/>
                <c:pt idx="0">
                  <c:v>29.17350308641976</c:v>
                </c:pt>
                <c:pt idx="1">
                  <c:v>29.199784615384626</c:v>
                </c:pt>
                <c:pt idx="2">
                  <c:v>33.355989010989028</c:v>
                </c:pt>
                <c:pt idx="3">
                  <c:v>30.596615384615379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D-4B7A-86B1-01CDFD07606A}"/>
            </c:ext>
          </c:extLst>
        </c:ser>
        <c:ser>
          <c:idx val="1"/>
          <c:order val="1"/>
          <c:tx>
            <c:strRef>
              <c:f>'Q5'!$K$5</c:f>
              <c:strCache>
                <c:ptCount val="1"/>
                <c:pt idx="0">
                  <c:v>Average of Charges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'Q5'!$I$6:$I$10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'Q5'!$K$6:$K$10</c:f>
              <c:numCache>
                <c:formatCode>0.00</c:formatCode>
                <c:ptCount val="4"/>
                <c:pt idx="0">
                  <c:v>13406.3845163858</c:v>
                </c:pt>
                <c:pt idx="1">
                  <c:v>12417.575373969228</c:v>
                </c:pt>
                <c:pt idx="2">
                  <c:v>14735.411437609895</c:v>
                </c:pt>
                <c:pt idx="3">
                  <c:v>12346.93737729231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D-4B7A-86B1-01CDFD0760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433113248"/>
        <c:axId val="433113728"/>
        <c:axId val="0"/>
      </c:bar3DChart>
      <c:catAx>
        <c:axId val="43311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13728"/>
        <c:crosses val="autoZero"/>
        <c:auto val="1"/>
        <c:lblAlgn val="ctr"/>
        <c:lblOffset val="100"/>
        <c:noMultiLvlLbl val="0"/>
      </c:catAx>
      <c:valAx>
        <c:axId val="433113728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43311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BMI</a:t>
            </a:r>
            <a:r>
              <a:rPr lang="en-US" baseline="0"/>
              <a:t> CLASSIFICATION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'Q7'!$J$7:$K$7</c:f>
              <c:strCache>
                <c:ptCount val="2"/>
                <c:pt idx="0">
                  <c:v>&lt;18.5</c:v>
                </c:pt>
                <c:pt idx="1">
                  <c:v>Underweights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'Q7'!$L$6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'Q7'!$L$7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7-41F5-BD38-EC809FEC5D40}"/>
            </c:ext>
          </c:extLst>
        </c:ser>
        <c:ser>
          <c:idx val="1"/>
          <c:order val="1"/>
          <c:tx>
            <c:strRef>
              <c:f>'Q7'!$J$8:$K$8</c:f>
              <c:strCache>
                <c:ptCount val="2"/>
                <c:pt idx="0">
                  <c:v>18.5-24.9</c:v>
                </c:pt>
                <c:pt idx="1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'Q7'!$L$6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'Q7'!$L$8</c:f>
              <c:numCache>
                <c:formatCode>General</c:formatCode>
                <c:ptCount val="1"/>
                <c:pt idx="0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7-41F5-BD38-EC809FEC5D40}"/>
            </c:ext>
          </c:extLst>
        </c:ser>
        <c:ser>
          <c:idx val="2"/>
          <c:order val="2"/>
          <c:tx>
            <c:strRef>
              <c:f>'Q7'!$J$9:$K$9</c:f>
              <c:strCache>
                <c:ptCount val="2"/>
                <c:pt idx="0">
                  <c:v>25-29.9</c:v>
                </c:pt>
                <c:pt idx="1">
                  <c:v>Overweights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'Q7'!$L$6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'Q7'!$L$9</c:f>
              <c:numCache>
                <c:formatCode>General</c:formatCode>
                <c:ptCount val="1"/>
                <c:pt idx="0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F7-41F5-BD38-EC809FEC5D40}"/>
            </c:ext>
          </c:extLst>
        </c:ser>
        <c:ser>
          <c:idx val="3"/>
          <c:order val="3"/>
          <c:tx>
            <c:strRef>
              <c:f>'Q7'!$J$10:$K$10</c:f>
              <c:strCache>
                <c:ptCount val="2"/>
                <c:pt idx="0">
                  <c:v>30+</c:v>
                </c:pt>
                <c:pt idx="1">
                  <c:v>Obese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'Q7'!$L$6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'Q7'!$L$10</c:f>
              <c:numCache>
                <c:formatCode>General</c:formatCode>
                <c:ptCount val="1"/>
                <c:pt idx="0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F7-41F5-BD38-EC809FEC5D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3948928"/>
        <c:axId val="523949408"/>
      </c:barChart>
      <c:valAx>
        <c:axId val="52394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48928"/>
        <c:crosses val="autoZero"/>
        <c:crossBetween val="between"/>
      </c:valAx>
      <c:catAx>
        <c:axId val="523948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4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</a:t>
            </a:r>
            <a:r>
              <a:rPr lang="en-US" baseline="0"/>
              <a:t> vs MEDICAL CHARGES</a:t>
            </a:r>
            <a:endParaRPr lang="en-US"/>
          </a:p>
        </c:rich>
      </c:tx>
      <c:layout>
        <c:manualLayout>
          <c:xMode val="edge"/>
          <c:yMode val="edge"/>
          <c:x val="0.161442142373352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'Q8'!$G$1</c:f>
              <c:strCache>
                <c:ptCount val="1"/>
                <c:pt idx="0">
                  <c:v>Charges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sq" cmpd="sng">
                <a:solidFill>
                  <a:srgbClr val="FF0000">
                    <a:alpha val="70000"/>
                  </a:srgbClr>
                </a:solidFill>
                <a:headEnd type="none"/>
                <a:tailEnd type="oval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  <a:headEnd w="sm" len="sm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'Q8'!$C$2:$C$1339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xVal>
          <c:yVal>
            <c:numRef>
              <c:f>'Q8'!$G$2:$G$1339</c:f>
              <c:numCache>
                <c:formatCode>General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0D-443D-B3ED-1AC17A892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744592"/>
        <c:axId val="220745552"/>
      </c:scatterChart>
      <c:valAx>
        <c:axId val="2207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45552"/>
        <c:crosses val="autoZero"/>
        <c:crossBetween val="midCat"/>
      </c:valAx>
      <c:valAx>
        <c:axId val="2207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4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'Q9'!$I$14:$I$17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'Q9'!$J$14:$J$17</c:f>
              <c:numCache>
                <c:formatCode>General</c:formatCode>
                <c:ptCount val="4"/>
                <c:pt idx="0">
                  <c:v>1988126.9436799996</c:v>
                </c:pt>
                <c:pt idx="1">
                  <c:v>1751136.1845799994</c:v>
                </c:pt>
                <c:pt idx="2">
                  <c:v>3170894.7109500007</c:v>
                </c:pt>
                <c:pt idx="3">
                  <c:v>1871605.6826299995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3-48FA-B8BA-0F95368D03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45204528"/>
        <c:axId val="545205008"/>
      </c:barChart>
      <c:catAx>
        <c:axId val="545204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05008"/>
        <c:crosses val="autoZero"/>
        <c:auto val="1"/>
        <c:lblAlgn val="ctr"/>
        <c:lblOffset val="100"/>
        <c:noMultiLvlLbl val="0"/>
      </c:catAx>
      <c:valAx>
        <c:axId val="54520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0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CHARGES OVER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CHARGES OVER BY REGION</a:t>
          </a:r>
        </a:p>
      </cx:txPr>
    </cx:title>
    <cx:plotArea>
      <cx:plotAreaRegion>
        <cx:series layoutId="clusteredColumn" uniqueId="{B55C64F3-4BE1-4A49-ACCE-DB9B1E35D541}">
          <cx:tx>
            <cx:txData>
              <cx:f>_xlchart.v1.1</cx:f>
              <cx:v>Charges</cx:v>
            </cx:txData>
          </cx:tx>
          <cx:dataLabels pos="in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FFAF1E28-9AF3-4B53-A11E-CF49E013B30F}">
          <cx:axisId val="2"/>
        </cx:series>
      </cx:plotAreaRegion>
      <cx:axis id="0">
        <cx:catScaling gapWidth="0"/>
        <cx:tickLabels/>
      </cx:axis>
      <cx:axis id="1">
        <cx:valScaling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CHARGES OVER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CHARGES OVER BY REGION</a:t>
          </a:r>
        </a:p>
      </cx:txPr>
    </cx:title>
    <cx:plotArea>
      <cx:plotAreaRegion>
        <cx:series layoutId="clusteredColumn" uniqueId="{B55C64F3-4BE1-4A49-ACCE-DB9B1E35D541}">
          <cx:tx>
            <cx:txData>
              <cx:f>_xlchart.v1.4</cx:f>
              <cx:v>Charges</cx:v>
            </cx:txData>
          </cx:tx>
          <cx:dataLabels pos="in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FFAF1E28-9AF3-4B53-A11E-CF49E013B30F}">
          <cx:axisId val="2"/>
        </cx:series>
      </cx:plotAreaRegion>
      <cx:axis id="0">
        <cx:catScaling gapWidth="0"/>
        <cx:tickLabels/>
      </cx:axis>
      <cx:axis id="1">
        <cx:valScaling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5.xml"/><Relationship Id="rId7" Type="http://schemas.openxmlformats.org/officeDocument/2006/relationships/chart" Target="../charts/chart18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7.xml"/><Relationship Id="rId5" Type="http://schemas.microsoft.com/office/2014/relationships/chartEx" Target="../charts/chartEx2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396240</xdr:colOff>
      <xdr:row>6</xdr:row>
      <xdr:rowOff>7620</xdr:rowOff>
    </xdr:from>
    <xdr:to>
      <xdr:col>20</xdr:col>
      <xdr:colOff>91440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399FC-27EE-0F68-B188-69852BEC9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297180</xdr:colOff>
      <xdr:row>6</xdr:row>
      <xdr:rowOff>7620</xdr:rowOff>
    </xdr:from>
    <xdr:to>
      <xdr:col>27</xdr:col>
      <xdr:colOff>601980</xdr:colOff>
      <xdr:row>20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DEDB18-77A4-CE05-74E7-CEE4B149F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320040</xdr:colOff>
      <xdr:row>22</xdr:row>
      <xdr:rowOff>0</xdr:rowOff>
    </xdr:from>
    <xdr:to>
      <xdr:col>25</xdr:col>
      <xdr:colOff>15240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870E83-4936-37E6-F26C-FD1338807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5</xdr:row>
      <xdr:rowOff>15240</xdr:rowOff>
    </xdr:from>
    <xdr:to>
      <xdr:col>17</xdr:col>
      <xdr:colOff>83820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75295-2374-8EDF-AB13-31A4630F4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553040</xdr:colOff>
      <xdr:row>20</xdr:row>
      <xdr:rowOff>179338</xdr:rowOff>
    </xdr:from>
    <xdr:to>
      <xdr:col>13</xdr:col>
      <xdr:colOff>881559</xdr:colOff>
      <xdr:row>35</xdr:row>
      <xdr:rowOff>179339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099A6-33E6-185F-04D0-E2D190463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10</xdr:row>
      <xdr:rowOff>22860</xdr:rowOff>
    </xdr:from>
    <xdr:to>
      <xdr:col>11</xdr:col>
      <xdr:colOff>518160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AC658-27BF-327B-ACFA-A47865B45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3</xdr:row>
      <xdr:rowOff>22860</xdr:rowOff>
    </xdr:from>
    <xdr:to>
      <xdr:col>19</xdr:col>
      <xdr:colOff>327660</xdr:colOff>
      <xdr:row>22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82C7C4-990D-ADD3-791A-54540E3A2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25</xdr:row>
      <xdr:rowOff>22860</xdr:rowOff>
    </xdr:from>
    <xdr:to>
      <xdr:col>12</xdr:col>
      <xdr:colOff>304800</xdr:colOff>
      <xdr:row>40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7E429-EADC-6D4A-4209-E2013F9A4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11</xdr:row>
      <xdr:rowOff>30480</xdr:rowOff>
    </xdr:from>
    <xdr:to>
      <xdr:col>13</xdr:col>
      <xdr:colOff>228600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30421-F26F-0832-CA76-40A005E73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525780</xdr:colOff>
      <xdr:row>11</xdr:row>
      <xdr:rowOff>91440</xdr:rowOff>
    </xdr:from>
    <xdr:to>
      <xdr:col>14</xdr:col>
      <xdr:colOff>213360</xdr:colOff>
      <xdr:row>26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53CEB29-673D-B767-EAE3-7F4E517B42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2980" y="21488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106680</xdr:colOff>
      <xdr:row>11</xdr:row>
      <xdr:rowOff>30480</xdr:rowOff>
    </xdr:from>
    <xdr:to>
      <xdr:col>14</xdr:col>
      <xdr:colOff>91440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ADC24-8D40-EA45-A29A-8E73F1349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6</xdr:row>
      <xdr:rowOff>0</xdr:rowOff>
    </xdr:from>
    <xdr:to>
      <xdr:col>15</xdr:col>
      <xdr:colOff>266700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F5220-B833-C29D-8357-57C40519F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11</xdr:row>
      <xdr:rowOff>152400</xdr:rowOff>
    </xdr:from>
    <xdr:to>
      <xdr:col>13</xdr:col>
      <xdr:colOff>434340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03620-6B1D-1066-E2C9-CDF198134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24</xdr:col>
      <xdr:colOff>320040</xdr:colOff>
      <xdr:row>31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B4AC14-2143-D744-AAEE-943CC95F8784}"/>
            </a:ext>
          </a:extLst>
        </xdr:cNvPr>
        <xdr:cNvSpPr txBox="1"/>
      </xdr:nvSpPr>
      <xdr:spPr>
        <a:xfrm>
          <a:off x="0" y="15240"/>
          <a:ext cx="14950440" cy="56921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kern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76200</xdr:colOff>
      <xdr:row>0</xdr:row>
      <xdr:rowOff>83820</xdr:rowOff>
    </xdr:from>
    <xdr:to>
      <xdr:col>6</xdr:col>
      <xdr:colOff>342900</xdr:colOff>
      <xdr:row>3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127EC9-9489-8EE3-613C-AB746A4AA6D9}"/>
            </a:ext>
          </a:extLst>
        </xdr:cNvPr>
        <xdr:cNvSpPr txBox="1"/>
      </xdr:nvSpPr>
      <xdr:spPr>
        <a:xfrm>
          <a:off x="76200" y="83820"/>
          <a:ext cx="3924300" cy="495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 kern="1200"/>
            <a:t>MEDICAL</a:t>
          </a:r>
          <a:r>
            <a:rPr lang="en-IN" sz="1800" b="1" kern="1200" baseline="0"/>
            <a:t> INSURANCE DATA ANALYSIS</a:t>
          </a:r>
          <a:endParaRPr lang="en-IN" sz="1800" b="1" kern="1200"/>
        </a:p>
      </xdr:txBody>
    </xdr:sp>
    <xdr:clientData/>
  </xdr:twoCellAnchor>
  <xdr:twoCellAnchor>
    <xdr:from>
      <xdr:col>6</xdr:col>
      <xdr:colOff>464820</xdr:colOff>
      <xdr:row>0</xdr:row>
      <xdr:rowOff>91440</xdr:rowOff>
    </xdr:from>
    <xdr:to>
      <xdr:col>10</xdr:col>
      <xdr:colOff>411480</xdr:colOff>
      <xdr:row>3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A98552-ACCA-67D6-9ECE-736D40A127C3}"/>
            </a:ext>
          </a:extLst>
        </xdr:cNvPr>
        <xdr:cNvSpPr txBox="1"/>
      </xdr:nvSpPr>
      <xdr:spPr>
        <a:xfrm>
          <a:off x="4122420" y="91440"/>
          <a:ext cx="2385060" cy="495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kern="1200"/>
        </a:p>
      </xdr:txBody>
    </xdr:sp>
    <xdr:clientData/>
  </xdr:twoCellAnchor>
  <xdr:twoCellAnchor>
    <xdr:from>
      <xdr:col>6</xdr:col>
      <xdr:colOff>502920</xdr:colOff>
      <xdr:row>0</xdr:row>
      <xdr:rowOff>121920</xdr:rowOff>
    </xdr:from>
    <xdr:to>
      <xdr:col>10</xdr:col>
      <xdr:colOff>373380</xdr:colOff>
      <xdr:row>1</xdr:row>
      <xdr:rowOff>144780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5A2E89-4D8D-5CDA-D882-07D6242B684B}"/>
            </a:ext>
          </a:extLst>
        </xdr:cNvPr>
        <xdr:cNvSpPr txBox="1"/>
      </xdr:nvSpPr>
      <xdr:spPr>
        <a:xfrm>
          <a:off x="4160520" y="121920"/>
          <a:ext cx="23088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kern="1200"/>
            <a:t>TOTAL</a:t>
          </a:r>
          <a:r>
            <a:rPr lang="en-IN" sz="1100" b="1" kern="1200" baseline="0"/>
            <a:t> MEDICAL COST</a:t>
          </a:r>
          <a:endParaRPr lang="en-IN" sz="1100" b="1" kern="1200"/>
        </a:p>
      </xdr:txBody>
    </xdr:sp>
    <xdr:clientData/>
  </xdr:twoCellAnchor>
  <xdr:twoCellAnchor>
    <xdr:from>
      <xdr:col>6</xdr:col>
      <xdr:colOff>502920</xdr:colOff>
      <xdr:row>1</xdr:row>
      <xdr:rowOff>179553</xdr:rowOff>
    </xdr:from>
    <xdr:to>
      <xdr:col>10</xdr:col>
      <xdr:colOff>365760</xdr:colOff>
      <xdr:row>3</xdr:row>
      <xdr:rowOff>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3CFAE3-0558-4BF1-B0C3-F1CF6D6FAD73}"/>
            </a:ext>
          </a:extLst>
        </xdr:cNvPr>
        <xdr:cNvSpPr txBox="1"/>
      </xdr:nvSpPr>
      <xdr:spPr>
        <a:xfrm>
          <a:off x="4155265" y="363484"/>
          <a:ext cx="2297736" cy="188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17755824.99</a:t>
          </a:r>
          <a:r>
            <a:rPr lang="en-IN"/>
            <a:t> </a:t>
          </a:r>
          <a:endParaRPr lang="en-IN" sz="1100" b="1" kern="1200"/>
        </a:p>
      </xdr:txBody>
    </xdr:sp>
    <xdr:clientData/>
  </xdr:twoCellAnchor>
  <xdr:twoCellAnchor>
    <xdr:from>
      <xdr:col>10</xdr:col>
      <xdr:colOff>542042</xdr:colOff>
      <xdr:row>0</xdr:row>
      <xdr:rowOff>84841</xdr:rowOff>
    </xdr:from>
    <xdr:to>
      <xdr:col>15</xdr:col>
      <xdr:colOff>70702</xdr:colOff>
      <xdr:row>3</xdr:row>
      <xdr:rowOff>31423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2F1914-7375-FD7F-E7F7-F21BAB7AC032}"/>
            </a:ext>
          </a:extLst>
        </xdr:cNvPr>
        <xdr:cNvSpPr txBox="1"/>
      </xdr:nvSpPr>
      <xdr:spPr>
        <a:xfrm>
          <a:off x="6669465" y="84841"/>
          <a:ext cx="2592371" cy="48862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kern="1200"/>
        </a:p>
      </xdr:txBody>
    </xdr:sp>
    <xdr:clientData/>
  </xdr:twoCellAnchor>
  <xdr:twoCellAnchor>
    <xdr:from>
      <xdr:col>10</xdr:col>
      <xdr:colOff>587604</xdr:colOff>
      <xdr:row>0</xdr:row>
      <xdr:rowOff>124119</xdr:rowOff>
    </xdr:from>
    <xdr:to>
      <xdr:col>15</xdr:col>
      <xdr:colOff>31423</xdr:colOff>
      <xdr:row>1</xdr:row>
      <xdr:rowOff>141402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9EF0A04-AA98-9CA8-0A50-6F49BC7034B3}"/>
            </a:ext>
          </a:extLst>
        </xdr:cNvPr>
        <xdr:cNvSpPr txBox="1"/>
      </xdr:nvSpPr>
      <xdr:spPr>
        <a:xfrm>
          <a:off x="6715027" y="124119"/>
          <a:ext cx="2507530" cy="197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kern="1200"/>
            <a:t>AVERAGE MEDICAL COST</a:t>
          </a:r>
        </a:p>
      </xdr:txBody>
    </xdr:sp>
    <xdr:clientData/>
  </xdr:twoCellAnchor>
  <xdr:twoCellAnchor>
    <xdr:from>
      <xdr:col>10</xdr:col>
      <xdr:colOff>597032</xdr:colOff>
      <xdr:row>2</xdr:row>
      <xdr:rowOff>0</xdr:rowOff>
    </xdr:from>
    <xdr:to>
      <xdr:col>15</xdr:col>
      <xdr:colOff>39279</xdr:colOff>
      <xdr:row>2</xdr:row>
      <xdr:rowOff>164969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0416586-4C15-404F-A5E7-AB01042A512E}"/>
            </a:ext>
          </a:extLst>
        </xdr:cNvPr>
        <xdr:cNvSpPr txBox="1"/>
      </xdr:nvSpPr>
      <xdr:spPr>
        <a:xfrm>
          <a:off x="6724455" y="361361"/>
          <a:ext cx="2505958" cy="1649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13270.42</a:t>
          </a:r>
          <a:r>
            <a:rPr lang="en-IN"/>
            <a:t> </a:t>
          </a:r>
          <a:endParaRPr lang="en-IN" sz="1100" b="1" kern="1200"/>
        </a:p>
      </xdr:txBody>
    </xdr:sp>
    <xdr:clientData/>
  </xdr:twoCellAnchor>
  <xdr:twoCellAnchor>
    <xdr:from>
      <xdr:col>15</xdr:col>
      <xdr:colOff>207390</xdr:colOff>
      <xdr:row>0</xdr:row>
      <xdr:rowOff>87983</xdr:rowOff>
    </xdr:from>
    <xdr:to>
      <xdr:col>19</xdr:col>
      <xdr:colOff>348792</xdr:colOff>
      <xdr:row>3</xdr:row>
      <xdr:rowOff>34565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437CE9-CEEA-4241-8DF8-22F8E1F68879}"/>
            </a:ext>
          </a:extLst>
        </xdr:cNvPr>
        <xdr:cNvSpPr txBox="1"/>
      </xdr:nvSpPr>
      <xdr:spPr>
        <a:xfrm>
          <a:off x="9398524" y="87983"/>
          <a:ext cx="2592371" cy="48862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kern="1200"/>
        </a:p>
      </xdr:txBody>
    </xdr:sp>
    <xdr:clientData/>
  </xdr:twoCellAnchor>
  <xdr:twoCellAnchor>
    <xdr:from>
      <xdr:col>15</xdr:col>
      <xdr:colOff>237242</xdr:colOff>
      <xdr:row>0</xdr:row>
      <xdr:rowOff>127261</xdr:rowOff>
    </xdr:from>
    <xdr:to>
      <xdr:col>19</xdr:col>
      <xdr:colOff>293803</xdr:colOff>
      <xdr:row>1</xdr:row>
      <xdr:rowOff>144544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F61058B-51A4-4C56-B9A8-002283D218C7}"/>
            </a:ext>
          </a:extLst>
        </xdr:cNvPr>
        <xdr:cNvSpPr txBox="1"/>
      </xdr:nvSpPr>
      <xdr:spPr>
        <a:xfrm>
          <a:off x="9428376" y="127261"/>
          <a:ext cx="2507530" cy="197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kern="1200"/>
            <a:t>AVERAGE BMI</a:t>
          </a:r>
        </a:p>
      </xdr:txBody>
    </xdr:sp>
    <xdr:clientData/>
  </xdr:twoCellAnchor>
  <xdr:twoCellAnchor>
    <xdr:from>
      <xdr:col>15</xdr:col>
      <xdr:colOff>243527</xdr:colOff>
      <xdr:row>2</xdr:row>
      <xdr:rowOff>5729</xdr:rowOff>
    </xdr:from>
    <xdr:to>
      <xdr:col>19</xdr:col>
      <xdr:colOff>300088</xdr:colOff>
      <xdr:row>3</xdr:row>
      <xdr:rowOff>1572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06AC28B-9A92-4DA5-AA36-FA5A3C20BDE9}"/>
            </a:ext>
          </a:extLst>
        </xdr:cNvPr>
        <xdr:cNvSpPr txBox="1"/>
      </xdr:nvSpPr>
      <xdr:spPr>
        <a:xfrm>
          <a:off x="9353151" y="372406"/>
          <a:ext cx="2485794" cy="1791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 kern="1200"/>
            <a:t>30.66</a:t>
          </a:r>
        </a:p>
      </xdr:txBody>
    </xdr:sp>
    <xdr:clientData/>
  </xdr:twoCellAnchor>
  <xdr:twoCellAnchor>
    <xdr:from>
      <xdr:col>0</xdr:col>
      <xdr:colOff>69273</xdr:colOff>
      <xdr:row>3</xdr:row>
      <xdr:rowOff>69119</xdr:rowOff>
    </xdr:from>
    <xdr:to>
      <xdr:col>6</xdr:col>
      <xdr:colOff>407939</xdr:colOff>
      <xdr:row>15</xdr:row>
      <xdr:rowOff>138546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4C8B192-7999-44CB-ADD1-48302E516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454121</xdr:colOff>
      <xdr:row>3</xdr:row>
      <xdr:rowOff>76971</xdr:rowOff>
    </xdr:from>
    <xdr:to>
      <xdr:col>13</xdr:col>
      <xdr:colOff>484909</xdr:colOff>
      <xdr:row>15</xdr:row>
      <xdr:rowOff>123152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AA70A68-720D-4F7B-B941-B6B9BCEC5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493329</xdr:colOff>
      <xdr:row>0</xdr:row>
      <xdr:rowOff>116540</xdr:rowOff>
    </xdr:from>
    <xdr:to>
      <xdr:col>24</xdr:col>
      <xdr:colOff>233082</xdr:colOff>
      <xdr:row>15</xdr:row>
      <xdr:rowOff>116541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8DE23B0-6E2B-4693-8A61-F9525926E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188259</xdr:colOff>
      <xdr:row>15</xdr:row>
      <xdr:rowOff>149710</xdr:rowOff>
    </xdr:from>
    <xdr:to>
      <xdr:col>12</xdr:col>
      <xdr:colOff>564776</xdr:colOff>
      <xdr:row>30</xdr:row>
      <xdr:rowOff>152400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3E0725E-4089-4AA7-B2E6-477978907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510988</xdr:colOff>
      <xdr:row>3</xdr:row>
      <xdr:rowOff>77993</xdr:rowOff>
    </xdr:from>
    <xdr:to>
      <xdr:col>19</xdr:col>
      <xdr:colOff>457200</xdr:colOff>
      <xdr:row>15</xdr:row>
      <xdr:rowOff>116541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E1589BB2-98CA-41D5-A2F2-A12A6D4C9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35788" y="626633"/>
              <a:ext cx="3603812" cy="22331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591670</xdr:colOff>
      <xdr:row>15</xdr:row>
      <xdr:rowOff>152400</xdr:rowOff>
    </xdr:from>
    <xdr:to>
      <xdr:col>19</xdr:col>
      <xdr:colOff>203050</xdr:colOff>
      <xdr:row>30</xdr:row>
      <xdr:rowOff>152400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B51468A-EBA3-4DB5-B109-D12AF7B77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53787</xdr:colOff>
      <xdr:row>15</xdr:row>
      <xdr:rowOff>176604</xdr:rowOff>
    </xdr:from>
    <xdr:to>
      <xdr:col>6</xdr:col>
      <xdr:colOff>125506</xdr:colOff>
      <xdr:row>30</xdr:row>
      <xdr:rowOff>107576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10F7B0B-D465-45C6-B891-2306A4273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242047</xdr:colOff>
      <xdr:row>15</xdr:row>
      <xdr:rowOff>161365</xdr:rowOff>
    </xdr:from>
    <xdr:to>
      <xdr:col>24</xdr:col>
      <xdr:colOff>259977</xdr:colOff>
      <xdr:row>30</xdr:row>
      <xdr:rowOff>152401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3C05193-A6C6-4729-8516-AD2E301A0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suryawanshi" refreshedDate="45637.772398726855" createdVersion="8" refreshedVersion="8" minRefreshableVersion="3" recordCount="1338" xr:uid="{DD906B61-39CE-4CE0-A019-E8F3E405CC91}">
  <cacheSource type="worksheet">
    <worksheetSource name="Table16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 count="2">
        <s v="female"/>
        <s v="male"/>
      </sharedItems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suryawanshi" refreshedDate="45637.783365740739" createdVersion="8" refreshedVersion="8" minRefreshableVersion="3" recordCount="1338" xr:uid="{6A56B05D-0069-4285-B1A0-A6B90330BB08}">
  <cacheSource type="worksheet">
    <worksheetSource name="Table17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suryawanshi" refreshedDate="45637.789648726852" createdVersion="8" refreshedVersion="8" minRefreshableVersion="3" recordCount="1338" xr:uid="{61D65B42-3BB3-4BA4-9B2A-3754BFC74FCB}">
  <cacheSource type="worksheet">
    <worksheetSource name="Table18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suryawanshi" refreshedDate="45637.793225925925" createdVersion="8" refreshedVersion="8" minRefreshableVersion="3" recordCount="1338" xr:uid="{5D4BDAD0-C045-477A-8A13-9CFA39C930F9}">
  <cacheSource type="worksheet">
    <worksheetSource name="Table19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suryawanshi" refreshedDate="45637.797836111109" createdVersion="8" refreshedVersion="8" minRefreshableVersion="3" recordCount="1338" xr:uid="{E6488C59-1913-48F9-8D74-BEF3D1A2064E}">
  <cacheSource type="worksheet">
    <worksheetSource name="Table110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 count="6">
        <n v="0"/>
        <n v="1"/>
        <n v="3"/>
        <n v="2"/>
        <n v="5"/>
        <n v="4"/>
      </sharedItems>
    </cacheField>
    <cacheField name="Smoker" numFmtId="0">
      <sharedItems/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suryawanshi" refreshedDate="45639.780779166664" createdVersion="8" refreshedVersion="8" minRefreshableVersion="3" recordCount="1338" xr:uid="{6E818657-355B-447D-8937-0EB42D952EEC}">
  <cacheSource type="worksheet">
    <worksheetSource name="Table112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x v="0"/>
    <n v="27.9"/>
    <n v="0"/>
    <s v="yes"/>
    <s v="southwest"/>
    <n v="16884.923999999999"/>
  </r>
  <r>
    <n v="18"/>
    <x v="1"/>
    <n v="33.770000000000003"/>
    <n v="1"/>
    <s v="no"/>
    <s v="southeast"/>
    <n v="1725.5523000000001"/>
  </r>
  <r>
    <n v="28"/>
    <x v="1"/>
    <n v="33"/>
    <n v="3"/>
    <s v="no"/>
    <s v="southeast"/>
    <n v="4449.4620000000004"/>
  </r>
  <r>
    <n v="33"/>
    <x v="1"/>
    <n v="22.704999999999998"/>
    <n v="0"/>
    <s v="no"/>
    <s v="northwest"/>
    <n v="21984.47061"/>
  </r>
  <r>
    <n v="32"/>
    <x v="1"/>
    <n v="28.88"/>
    <n v="0"/>
    <s v="no"/>
    <s v="northwest"/>
    <n v="3866.8552"/>
  </r>
  <r>
    <n v="31"/>
    <x v="0"/>
    <n v="25.74"/>
    <n v="0"/>
    <s v="no"/>
    <s v="southeast"/>
    <n v="3756.6215999999999"/>
  </r>
  <r>
    <n v="46"/>
    <x v="0"/>
    <n v="33.44"/>
    <n v="1"/>
    <s v="no"/>
    <s v="southeast"/>
    <n v="8240.5895999999993"/>
  </r>
  <r>
    <n v="37"/>
    <x v="0"/>
    <n v="27.74"/>
    <n v="3"/>
    <s v="no"/>
    <s v="northwest"/>
    <n v="7281.5056000000004"/>
  </r>
  <r>
    <n v="37"/>
    <x v="1"/>
    <n v="29.83"/>
    <n v="2"/>
    <s v="no"/>
    <s v="northeast"/>
    <n v="6406.4107000000004"/>
  </r>
  <r>
    <n v="60"/>
    <x v="0"/>
    <n v="25.84"/>
    <n v="0"/>
    <s v="no"/>
    <s v="northwest"/>
    <n v="28923.136920000001"/>
  </r>
  <r>
    <n v="25"/>
    <x v="1"/>
    <n v="26.22"/>
    <n v="0"/>
    <s v="no"/>
    <s v="northeast"/>
    <n v="2721.3208"/>
  </r>
  <r>
    <n v="62"/>
    <x v="0"/>
    <n v="26.29"/>
    <n v="0"/>
    <s v="yes"/>
    <s v="southeast"/>
    <n v="27808.7251"/>
  </r>
  <r>
    <n v="23"/>
    <x v="1"/>
    <n v="34.4"/>
    <n v="0"/>
    <s v="no"/>
    <s v="southwest"/>
    <n v="1826.8430000000001"/>
  </r>
  <r>
    <n v="56"/>
    <x v="0"/>
    <n v="39.82"/>
    <n v="0"/>
    <s v="no"/>
    <s v="southeast"/>
    <n v="11090.7178"/>
  </r>
  <r>
    <n v="27"/>
    <x v="1"/>
    <n v="42.13"/>
    <n v="0"/>
    <s v="yes"/>
    <s v="southeast"/>
    <n v="39611.757700000002"/>
  </r>
  <r>
    <n v="19"/>
    <x v="1"/>
    <n v="24.6"/>
    <n v="1"/>
    <s v="no"/>
    <s v="southwest"/>
    <n v="1837.2370000000001"/>
  </r>
  <r>
    <n v="52"/>
    <x v="0"/>
    <n v="30.78"/>
    <n v="1"/>
    <s v="no"/>
    <s v="northeast"/>
    <n v="10797.3362"/>
  </r>
  <r>
    <n v="23"/>
    <x v="1"/>
    <n v="23.844999999999999"/>
    <n v="0"/>
    <s v="no"/>
    <s v="northeast"/>
    <n v="2395.17155"/>
  </r>
  <r>
    <n v="56"/>
    <x v="1"/>
    <n v="40.299999999999997"/>
    <n v="0"/>
    <s v="no"/>
    <s v="southwest"/>
    <n v="10602.385"/>
  </r>
  <r>
    <n v="30"/>
    <x v="1"/>
    <n v="35.299999999999997"/>
    <n v="0"/>
    <s v="yes"/>
    <s v="southwest"/>
    <n v="36837.466999999997"/>
  </r>
  <r>
    <n v="60"/>
    <x v="0"/>
    <n v="36.005000000000003"/>
    <n v="0"/>
    <s v="no"/>
    <s v="northeast"/>
    <n v="13228.846949999999"/>
  </r>
  <r>
    <n v="30"/>
    <x v="0"/>
    <n v="32.4"/>
    <n v="1"/>
    <s v="no"/>
    <s v="southwest"/>
    <n v="4149.7359999999999"/>
  </r>
  <r>
    <n v="18"/>
    <x v="1"/>
    <n v="34.1"/>
    <n v="0"/>
    <s v="no"/>
    <s v="southeast"/>
    <n v="1137.011"/>
  </r>
  <r>
    <n v="34"/>
    <x v="0"/>
    <n v="31.92"/>
    <n v="1"/>
    <s v="yes"/>
    <s v="northeast"/>
    <n v="37701.876799999998"/>
  </r>
  <r>
    <n v="37"/>
    <x v="1"/>
    <n v="28.024999999999999"/>
    <n v="2"/>
    <s v="no"/>
    <s v="northwest"/>
    <n v="6203.90175"/>
  </r>
  <r>
    <n v="59"/>
    <x v="0"/>
    <n v="27.72"/>
    <n v="3"/>
    <s v="no"/>
    <s v="southeast"/>
    <n v="14001.1338"/>
  </r>
  <r>
    <n v="63"/>
    <x v="0"/>
    <n v="23.085000000000001"/>
    <n v="0"/>
    <s v="no"/>
    <s v="northeast"/>
    <n v="14451.835150000001"/>
  </r>
  <r>
    <n v="55"/>
    <x v="0"/>
    <n v="32.774999999999999"/>
    <n v="2"/>
    <s v="no"/>
    <s v="northwest"/>
    <n v="12268.632250000001"/>
  </r>
  <r>
    <n v="23"/>
    <x v="1"/>
    <n v="17.385000000000002"/>
    <n v="1"/>
    <s v="no"/>
    <s v="northwest"/>
    <n v="2775.1921499999999"/>
  </r>
  <r>
    <n v="31"/>
    <x v="1"/>
    <n v="36.299999999999997"/>
    <n v="2"/>
    <s v="yes"/>
    <s v="southwest"/>
    <n v="38711"/>
  </r>
  <r>
    <n v="22"/>
    <x v="1"/>
    <n v="35.6"/>
    <n v="0"/>
    <s v="yes"/>
    <s v="southwest"/>
    <n v="35585.576000000001"/>
  </r>
  <r>
    <n v="18"/>
    <x v="0"/>
    <n v="26.315000000000001"/>
    <n v="0"/>
    <s v="no"/>
    <s v="northeast"/>
    <n v="2198.1898500000002"/>
  </r>
  <r>
    <n v="19"/>
    <x v="0"/>
    <n v="28.6"/>
    <n v="5"/>
    <s v="no"/>
    <s v="southwest"/>
    <n v="4687.7969999999996"/>
  </r>
  <r>
    <n v="63"/>
    <x v="1"/>
    <n v="28.31"/>
    <n v="0"/>
    <s v="no"/>
    <s v="northwest"/>
    <n v="13770.097900000001"/>
  </r>
  <r>
    <n v="28"/>
    <x v="1"/>
    <n v="36.4"/>
    <n v="1"/>
    <s v="yes"/>
    <s v="southwest"/>
    <n v="51194.559139999998"/>
  </r>
  <r>
    <n v="19"/>
    <x v="1"/>
    <n v="20.425000000000001"/>
    <n v="0"/>
    <s v="no"/>
    <s v="northwest"/>
    <n v="1625.4337499999999"/>
  </r>
  <r>
    <n v="62"/>
    <x v="0"/>
    <n v="32.965000000000003"/>
    <n v="3"/>
    <s v="no"/>
    <s v="northwest"/>
    <n v="15612.19335"/>
  </r>
  <r>
    <n v="26"/>
    <x v="1"/>
    <n v="20.8"/>
    <n v="0"/>
    <s v="no"/>
    <s v="southwest"/>
    <n v="2302.3000000000002"/>
  </r>
  <r>
    <n v="35"/>
    <x v="1"/>
    <n v="36.67"/>
    <n v="1"/>
    <s v="yes"/>
    <s v="northeast"/>
    <n v="39774.276299999998"/>
  </r>
  <r>
    <n v="60"/>
    <x v="1"/>
    <n v="39.9"/>
    <n v="0"/>
    <s v="yes"/>
    <s v="southwest"/>
    <n v="48173.360999999997"/>
  </r>
  <r>
    <n v="24"/>
    <x v="0"/>
    <n v="26.6"/>
    <n v="0"/>
    <s v="no"/>
    <s v="northeast"/>
    <n v="3046.0619999999999"/>
  </r>
  <r>
    <n v="31"/>
    <x v="0"/>
    <n v="36.630000000000003"/>
    <n v="2"/>
    <s v="no"/>
    <s v="southeast"/>
    <n v="4949.7587000000003"/>
  </r>
  <r>
    <n v="41"/>
    <x v="1"/>
    <n v="21.78"/>
    <n v="1"/>
    <s v="no"/>
    <s v="southeast"/>
    <n v="6272.4772000000003"/>
  </r>
  <r>
    <n v="37"/>
    <x v="0"/>
    <n v="30.8"/>
    <n v="2"/>
    <s v="no"/>
    <s v="southeast"/>
    <n v="6313.759"/>
  </r>
  <r>
    <n v="38"/>
    <x v="1"/>
    <n v="37.049999999999997"/>
    <n v="1"/>
    <s v="no"/>
    <s v="northeast"/>
    <n v="6079.6715000000004"/>
  </r>
  <r>
    <n v="55"/>
    <x v="1"/>
    <n v="37.299999999999997"/>
    <n v="0"/>
    <s v="no"/>
    <s v="southwest"/>
    <n v="20630.283510000001"/>
  </r>
  <r>
    <n v="18"/>
    <x v="0"/>
    <n v="38.664999999999999"/>
    <n v="2"/>
    <s v="no"/>
    <s v="northeast"/>
    <n v="3393.35635"/>
  </r>
  <r>
    <n v="28"/>
    <x v="0"/>
    <n v="34.770000000000003"/>
    <n v="0"/>
    <s v="no"/>
    <s v="northwest"/>
    <n v="3556.9223000000002"/>
  </r>
  <r>
    <n v="60"/>
    <x v="0"/>
    <n v="24.53"/>
    <n v="0"/>
    <s v="no"/>
    <s v="southeast"/>
    <n v="12629.896699999999"/>
  </r>
  <r>
    <n v="36"/>
    <x v="1"/>
    <n v="35.200000000000003"/>
    <n v="1"/>
    <s v="yes"/>
    <s v="southeast"/>
    <n v="38709.175999999999"/>
  </r>
  <r>
    <n v="18"/>
    <x v="0"/>
    <n v="35.625"/>
    <n v="0"/>
    <s v="no"/>
    <s v="northeast"/>
    <n v="2211.1307499999998"/>
  </r>
  <r>
    <n v="21"/>
    <x v="0"/>
    <n v="33.630000000000003"/>
    <n v="2"/>
    <s v="no"/>
    <s v="northwest"/>
    <n v="3579.8287"/>
  </r>
  <r>
    <n v="48"/>
    <x v="1"/>
    <n v="28"/>
    <n v="1"/>
    <s v="yes"/>
    <s v="southwest"/>
    <n v="23568.272000000001"/>
  </r>
  <r>
    <n v="36"/>
    <x v="1"/>
    <n v="34.43"/>
    <n v="0"/>
    <s v="yes"/>
    <s v="southeast"/>
    <n v="37742.575700000001"/>
  </r>
  <r>
    <n v="40"/>
    <x v="0"/>
    <n v="28.69"/>
    <n v="3"/>
    <s v="no"/>
    <s v="northwest"/>
    <n v="8059.6791000000003"/>
  </r>
  <r>
    <n v="58"/>
    <x v="1"/>
    <n v="36.954999999999998"/>
    <n v="2"/>
    <s v="yes"/>
    <s v="northwest"/>
    <n v="47496.494449999998"/>
  </r>
  <r>
    <n v="58"/>
    <x v="0"/>
    <n v="31.824999999999999"/>
    <n v="2"/>
    <s v="no"/>
    <s v="northeast"/>
    <n v="13607.36875"/>
  </r>
  <r>
    <n v="18"/>
    <x v="1"/>
    <n v="31.68"/>
    <n v="2"/>
    <s v="yes"/>
    <s v="southeast"/>
    <n v="34303.167200000004"/>
  </r>
  <r>
    <n v="53"/>
    <x v="0"/>
    <n v="22.88"/>
    <n v="1"/>
    <s v="yes"/>
    <s v="southeast"/>
    <n v="23244.790199999999"/>
  </r>
  <r>
    <n v="34"/>
    <x v="0"/>
    <n v="37.335000000000001"/>
    <n v="2"/>
    <s v="no"/>
    <s v="northwest"/>
    <n v="5989.5236500000001"/>
  </r>
  <r>
    <n v="43"/>
    <x v="1"/>
    <n v="27.36"/>
    <n v="3"/>
    <s v="no"/>
    <s v="northeast"/>
    <n v="8606.2173999999995"/>
  </r>
  <r>
    <n v="25"/>
    <x v="1"/>
    <n v="33.659999999999997"/>
    <n v="4"/>
    <s v="no"/>
    <s v="southeast"/>
    <n v="4504.6624000000002"/>
  </r>
  <r>
    <n v="64"/>
    <x v="1"/>
    <n v="24.7"/>
    <n v="1"/>
    <s v="no"/>
    <s v="northwest"/>
    <n v="30166.618170000002"/>
  </r>
  <r>
    <n v="28"/>
    <x v="0"/>
    <n v="25.934999999999999"/>
    <n v="1"/>
    <s v="no"/>
    <s v="northwest"/>
    <n v="4133.6416499999996"/>
  </r>
  <r>
    <n v="20"/>
    <x v="0"/>
    <n v="22.42"/>
    <n v="0"/>
    <s v="yes"/>
    <s v="northwest"/>
    <n v="14711.7438"/>
  </r>
  <r>
    <n v="19"/>
    <x v="0"/>
    <n v="28.9"/>
    <n v="0"/>
    <s v="no"/>
    <s v="southwest"/>
    <n v="1743.2139999999999"/>
  </r>
  <r>
    <n v="61"/>
    <x v="0"/>
    <n v="39.1"/>
    <n v="2"/>
    <s v="no"/>
    <s v="southwest"/>
    <n v="14235.072"/>
  </r>
  <r>
    <n v="40"/>
    <x v="1"/>
    <n v="26.315000000000001"/>
    <n v="1"/>
    <s v="no"/>
    <s v="northwest"/>
    <n v="6389.3778499999999"/>
  </r>
  <r>
    <n v="40"/>
    <x v="0"/>
    <n v="36.19"/>
    <n v="0"/>
    <s v="no"/>
    <s v="southeast"/>
    <n v="5920.1040999999996"/>
  </r>
  <r>
    <n v="28"/>
    <x v="1"/>
    <n v="23.98"/>
    <n v="3"/>
    <s v="yes"/>
    <s v="southeast"/>
    <n v="17663.144199999999"/>
  </r>
  <r>
    <n v="27"/>
    <x v="0"/>
    <n v="24.75"/>
    <n v="0"/>
    <s v="yes"/>
    <s v="southeast"/>
    <n v="16577.779500000001"/>
  </r>
  <r>
    <n v="31"/>
    <x v="1"/>
    <n v="28.5"/>
    <n v="5"/>
    <s v="no"/>
    <s v="northeast"/>
    <n v="6799.4579999999996"/>
  </r>
  <r>
    <n v="53"/>
    <x v="0"/>
    <n v="28.1"/>
    <n v="3"/>
    <s v="no"/>
    <s v="southwest"/>
    <n v="11741.726000000001"/>
  </r>
  <r>
    <n v="58"/>
    <x v="1"/>
    <n v="32.01"/>
    <n v="1"/>
    <s v="no"/>
    <s v="southeast"/>
    <n v="11946.625899999999"/>
  </r>
  <r>
    <n v="44"/>
    <x v="1"/>
    <n v="27.4"/>
    <n v="2"/>
    <s v="no"/>
    <s v="southwest"/>
    <n v="7726.8540000000003"/>
  </r>
  <r>
    <n v="57"/>
    <x v="1"/>
    <n v="34.01"/>
    <n v="0"/>
    <s v="no"/>
    <s v="northwest"/>
    <n v="11356.660900000001"/>
  </r>
  <r>
    <n v="29"/>
    <x v="0"/>
    <n v="29.59"/>
    <n v="1"/>
    <s v="no"/>
    <s v="southeast"/>
    <n v="3947.4131000000002"/>
  </r>
  <r>
    <n v="21"/>
    <x v="1"/>
    <n v="35.53"/>
    <n v="0"/>
    <s v="no"/>
    <s v="southeast"/>
    <n v="1532.4697000000001"/>
  </r>
  <r>
    <n v="22"/>
    <x v="0"/>
    <n v="39.805"/>
    <n v="0"/>
    <s v="no"/>
    <s v="northeast"/>
    <n v="2755.0209500000001"/>
  </r>
  <r>
    <n v="41"/>
    <x v="0"/>
    <n v="32.965000000000003"/>
    <n v="0"/>
    <s v="no"/>
    <s v="northwest"/>
    <n v="6571.0243499999997"/>
  </r>
  <r>
    <n v="31"/>
    <x v="1"/>
    <n v="26.885000000000002"/>
    <n v="1"/>
    <s v="no"/>
    <s v="northeast"/>
    <n v="4441.2131499999996"/>
  </r>
  <r>
    <n v="45"/>
    <x v="0"/>
    <n v="38.284999999999997"/>
    <n v="0"/>
    <s v="no"/>
    <s v="northeast"/>
    <n v="7935.29115"/>
  </r>
  <r>
    <n v="22"/>
    <x v="1"/>
    <n v="37.619999999999997"/>
    <n v="1"/>
    <s v="yes"/>
    <s v="southeast"/>
    <n v="37165.163800000002"/>
  </r>
  <r>
    <n v="48"/>
    <x v="0"/>
    <n v="41.23"/>
    <n v="4"/>
    <s v="no"/>
    <s v="northwest"/>
    <n v="11033.661700000001"/>
  </r>
  <r>
    <n v="37"/>
    <x v="0"/>
    <n v="34.799999999999997"/>
    <n v="2"/>
    <s v="yes"/>
    <s v="southwest"/>
    <n v="39836.519"/>
  </r>
  <r>
    <n v="45"/>
    <x v="1"/>
    <n v="22.895"/>
    <n v="2"/>
    <s v="yes"/>
    <s v="northwest"/>
    <n v="21098.554049999999"/>
  </r>
  <r>
    <n v="57"/>
    <x v="0"/>
    <n v="31.16"/>
    <n v="0"/>
    <s v="yes"/>
    <s v="northwest"/>
    <n v="43578.939400000003"/>
  </r>
  <r>
    <n v="56"/>
    <x v="0"/>
    <n v="27.2"/>
    <n v="0"/>
    <s v="no"/>
    <s v="southwest"/>
    <n v="11073.175999999999"/>
  </r>
  <r>
    <n v="46"/>
    <x v="0"/>
    <n v="27.74"/>
    <n v="0"/>
    <s v="no"/>
    <s v="northwest"/>
    <n v="8026.6665999999996"/>
  </r>
  <r>
    <n v="55"/>
    <x v="0"/>
    <n v="26.98"/>
    <n v="0"/>
    <s v="no"/>
    <s v="northwest"/>
    <n v="11082.5772"/>
  </r>
  <r>
    <n v="21"/>
    <x v="0"/>
    <n v="39.49"/>
    <n v="0"/>
    <s v="no"/>
    <s v="southeast"/>
    <n v="2026.9740999999999"/>
  </r>
  <r>
    <n v="53"/>
    <x v="0"/>
    <n v="24.795000000000002"/>
    <n v="1"/>
    <s v="no"/>
    <s v="northwest"/>
    <n v="10942.13205"/>
  </r>
  <r>
    <n v="59"/>
    <x v="1"/>
    <n v="29.83"/>
    <n v="3"/>
    <s v="yes"/>
    <s v="northeast"/>
    <n v="30184.936699999998"/>
  </r>
  <r>
    <n v="35"/>
    <x v="1"/>
    <n v="34.770000000000003"/>
    <n v="2"/>
    <s v="no"/>
    <s v="northwest"/>
    <n v="5729.0052999999998"/>
  </r>
  <r>
    <n v="64"/>
    <x v="0"/>
    <n v="31.3"/>
    <n v="2"/>
    <s v="yes"/>
    <s v="southwest"/>
    <n v="47291.055"/>
  </r>
  <r>
    <n v="28"/>
    <x v="0"/>
    <n v="37.619999999999997"/>
    <n v="1"/>
    <s v="no"/>
    <s v="southeast"/>
    <n v="3766.8838000000001"/>
  </r>
  <r>
    <n v="54"/>
    <x v="0"/>
    <n v="30.8"/>
    <n v="3"/>
    <s v="no"/>
    <s v="southwest"/>
    <n v="12105.32"/>
  </r>
  <r>
    <n v="55"/>
    <x v="1"/>
    <n v="38.28"/>
    <n v="0"/>
    <s v="no"/>
    <s v="southeast"/>
    <n v="10226.2842"/>
  </r>
  <r>
    <n v="56"/>
    <x v="1"/>
    <n v="19.95"/>
    <n v="0"/>
    <s v="yes"/>
    <s v="northeast"/>
    <n v="22412.648499999999"/>
  </r>
  <r>
    <n v="38"/>
    <x v="1"/>
    <n v="19.3"/>
    <n v="0"/>
    <s v="yes"/>
    <s v="southwest"/>
    <n v="15820.699000000001"/>
  </r>
  <r>
    <n v="41"/>
    <x v="0"/>
    <n v="31.6"/>
    <n v="0"/>
    <s v="no"/>
    <s v="southwest"/>
    <n v="6186.1270000000004"/>
  </r>
  <r>
    <n v="30"/>
    <x v="1"/>
    <n v="25.46"/>
    <n v="0"/>
    <s v="no"/>
    <s v="northeast"/>
    <n v="3645.0893999999998"/>
  </r>
  <r>
    <n v="18"/>
    <x v="0"/>
    <n v="30.114999999999998"/>
    <n v="0"/>
    <s v="no"/>
    <s v="northeast"/>
    <n v="21344.846699999998"/>
  </r>
  <r>
    <n v="61"/>
    <x v="0"/>
    <n v="29.92"/>
    <n v="3"/>
    <s v="yes"/>
    <s v="southeast"/>
    <n v="30942.191800000001"/>
  </r>
  <r>
    <n v="34"/>
    <x v="0"/>
    <n v="27.5"/>
    <n v="1"/>
    <s v="no"/>
    <s v="southwest"/>
    <n v="5003.8530000000001"/>
  </r>
  <r>
    <n v="20"/>
    <x v="1"/>
    <n v="28.024999999999999"/>
    <n v="1"/>
    <s v="yes"/>
    <s v="northwest"/>
    <n v="17560.37975"/>
  </r>
  <r>
    <n v="19"/>
    <x v="0"/>
    <n v="28.4"/>
    <n v="1"/>
    <s v="no"/>
    <s v="southwest"/>
    <n v="2331.5189999999998"/>
  </r>
  <r>
    <n v="26"/>
    <x v="1"/>
    <n v="30.875"/>
    <n v="2"/>
    <s v="no"/>
    <s v="northwest"/>
    <n v="3877.3042500000001"/>
  </r>
  <r>
    <n v="29"/>
    <x v="1"/>
    <n v="27.94"/>
    <n v="0"/>
    <s v="no"/>
    <s v="southeast"/>
    <n v="2867.1196"/>
  </r>
  <r>
    <n v="63"/>
    <x v="1"/>
    <n v="35.090000000000003"/>
    <n v="0"/>
    <s v="yes"/>
    <s v="southeast"/>
    <n v="47055.532099999997"/>
  </r>
  <r>
    <n v="54"/>
    <x v="1"/>
    <n v="33.630000000000003"/>
    <n v="1"/>
    <s v="no"/>
    <s v="northwest"/>
    <n v="10825.253699999999"/>
  </r>
  <r>
    <n v="55"/>
    <x v="0"/>
    <n v="29.7"/>
    <n v="2"/>
    <s v="no"/>
    <s v="southwest"/>
    <n v="11881.358"/>
  </r>
  <r>
    <n v="37"/>
    <x v="1"/>
    <n v="30.8"/>
    <n v="0"/>
    <s v="no"/>
    <s v="southwest"/>
    <n v="4646.759"/>
  </r>
  <r>
    <n v="21"/>
    <x v="0"/>
    <n v="35.72"/>
    <n v="0"/>
    <s v="no"/>
    <s v="northwest"/>
    <n v="2404.7338"/>
  </r>
  <r>
    <n v="52"/>
    <x v="1"/>
    <n v="32.204999999999998"/>
    <n v="3"/>
    <s v="no"/>
    <s v="northeast"/>
    <n v="11488.31695"/>
  </r>
  <r>
    <n v="60"/>
    <x v="1"/>
    <n v="28.594999999999999"/>
    <n v="0"/>
    <s v="no"/>
    <s v="northeast"/>
    <n v="30259.995559999999"/>
  </r>
  <r>
    <n v="58"/>
    <x v="1"/>
    <n v="49.06"/>
    <n v="0"/>
    <s v="no"/>
    <s v="southeast"/>
    <n v="11381.3254"/>
  </r>
  <r>
    <n v="29"/>
    <x v="0"/>
    <n v="27.94"/>
    <n v="1"/>
    <s v="yes"/>
    <s v="southeast"/>
    <n v="19107.779600000002"/>
  </r>
  <r>
    <n v="49"/>
    <x v="0"/>
    <n v="27.17"/>
    <n v="0"/>
    <s v="no"/>
    <s v="southeast"/>
    <n v="8601.3292999999994"/>
  </r>
  <r>
    <n v="37"/>
    <x v="0"/>
    <n v="23.37"/>
    <n v="2"/>
    <s v="no"/>
    <s v="northwest"/>
    <n v="6686.4313000000002"/>
  </r>
  <r>
    <n v="44"/>
    <x v="1"/>
    <n v="37.1"/>
    <n v="2"/>
    <s v="no"/>
    <s v="southwest"/>
    <n v="7740.3370000000004"/>
  </r>
  <r>
    <n v="18"/>
    <x v="1"/>
    <n v="23.75"/>
    <n v="0"/>
    <s v="no"/>
    <s v="northeast"/>
    <n v="1705.6244999999999"/>
  </r>
  <r>
    <n v="20"/>
    <x v="0"/>
    <n v="28.975000000000001"/>
    <n v="0"/>
    <s v="no"/>
    <s v="northwest"/>
    <n v="2257.47525"/>
  </r>
  <r>
    <n v="44"/>
    <x v="1"/>
    <n v="31.35"/>
    <n v="1"/>
    <s v="yes"/>
    <s v="northeast"/>
    <n v="39556.494500000001"/>
  </r>
  <r>
    <n v="47"/>
    <x v="0"/>
    <n v="33.914999999999999"/>
    <n v="3"/>
    <s v="no"/>
    <s v="northwest"/>
    <n v="10115.00885"/>
  </r>
  <r>
    <n v="26"/>
    <x v="0"/>
    <n v="28.785"/>
    <n v="0"/>
    <s v="no"/>
    <s v="northeast"/>
    <n v="3385.3991500000002"/>
  </r>
  <r>
    <n v="19"/>
    <x v="0"/>
    <n v="28.3"/>
    <n v="0"/>
    <s v="yes"/>
    <s v="southwest"/>
    <n v="17081.080000000002"/>
  </r>
  <r>
    <n v="52"/>
    <x v="0"/>
    <n v="37.4"/>
    <n v="0"/>
    <s v="no"/>
    <s v="southwest"/>
    <n v="9634.5380000000005"/>
  </r>
  <r>
    <n v="32"/>
    <x v="0"/>
    <n v="17.765000000000001"/>
    <n v="2"/>
    <s v="yes"/>
    <s v="northwest"/>
    <n v="32734.186300000001"/>
  </r>
  <r>
    <n v="38"/>
    <x v="1"/>
    <n v="34.700000000000003"/>
    <n v="2"/>
    <s v="no"/>
    <s v="southwest"/>
    <n v="6082.4049999999997"/>
  </r>
  <r>
    <n v="59"/>
    <x v="0"/>
    <n v="26.504999999999999"/>
    <n v="0"/>
    <s v="no"/>
    <s v="northeast"/>
    <n v="12815.444949999999"/>
  </r>
  <r>
    <n v="61"/>
    <x v="0"/>
    <n v="22.04"/>
    <n v="0"/>
    <s v="no"/>
    <s v="northeast"/>
    <n v="13616.3586"/>
  </r>
  <r>
    <n v="53"/>
    <x v="0"/>
    <n v="35.9"/>
    <n v="2"/>
    <s v="no"/>
    <s v="southwest"/>
    <n v="11163.567999999999"/>
  </r>
  <r>
    <n v="19"/>
    <x v="1"/>
    <n v="25.555"/>
    <n v="0"/>
    <s v="no"/>
    <s v="northwest"/>
    <n v="1632.5644500000001"/>
  </r>
  <r>
    <n v="20"/>
    <x v="0"/>
    <n v="28.785"/>
    <n v="0"/>
    <s v="no"/>
    <s v="northeast"/>
    <n v="2457.2111500000001"/>
  </r>
  <r>
    <n v="22"/>
    <x v="0"/>
    <n v="28.05"/>
    <n v="0"/>
    <s v="no"/>
    <s v="southeast"/>
    <n v="2155.6815000000001"/>
  </r>
  <r>
    <n v="19"/>
    <x v="1"/>
    <n v="34.1"/>
    <n v="0"/>
    <s v="no"/>
    <s v="southwest"/>
    <n v="1261.442"/>
  </r>
  <r>
    <n v="22"/>
    <x v="1"/>
    <n v="25.175000000000001"/>
    <n v="0"/>
    <s v="no"/>
    <s v="northwest"/>
    <n v="2045.68525"/>
  </r>
  <r>
    <n v="54"/>
    <x v="0"/>
    <n v="31.9"/>
    <n v="3"/>
    <s v="no"/>
    <s v="southeast"/>
    <n v="27322.73386"/>
  </r>
  <r>
    <n v="22"/>
    <x v="0"/>
    <n v="36"/>
    <n v="0"/>
    <s v="no"/>
    <s v="southwest"/>
    <n v="2166.732"/>
  </r>
  <r>
    <n v="34"/>
    <x v="1"/>
    <n v="22.42"/>
    <n v="2"/>
    <s v="no"/>
    <s v="northeast"/>
    <n v="27375.904780000001"/>
  </r>
  <r>
    <n v="26"/>
    <x v="1"/>
    <n v="32.49"/>
    <n v="1"/>
    <s v="no"/>
    <s v="northeast"/>
    <n v="3490.5491000000002"/>
  </r>
  <r>
    <n v="34"/>
    <x v="1"/>
    <n v="25.3"/>
    <n v="2"/>
    <s v="yes"/>
    <s v="southeast"/>
    <n v="18972.494999999999"/>
  </r>
  <r>
    <n v="29"/>
    <x v="1"/>
    <n v="29.734999999999999"/>
    <n v="2"/>
    <s v="no"/>
    <s v="northwest"/>
    <n v="18157.876"/>
  </r>
  <r>
    <n v="30"/>
    <x v="1"/>
    <n v="28.69"/>
    <n v="3"/>
    <s v="yes"/>
    <s v="northwest"/>
    <n v="20745.989099999999"/>
  </r>
  <r>
    <n v="29"/>
    <x v="0"/>
    <n v="38.83"/>
    <n v="3"/>
    <s v="no"/>
    <s v="southeast"/>
    <n v="5138.2566999999999"/>
  </r>
  <r>
    <n v="46"/>
    <x v="1"/>
    <n v="30.495000000000001"/>
    <n v="3"/>
    <s v="yes"/>
    <s v="northwest"/>
    <n v="40720.551050000002"/>
  </r>
  <r>
    <n v="51"/>
    <x v="0"/>
    <n v="37.729999999999997"/>
    <n v="1"/>
    <s v="no"/>
    <s v="southeast"/>
    <n v="9877.6077000000005"/>
  </r>
  <r>
    <n v="53"/>
    <x v="0"/>
    <n v="37.43"/>
    <n v="1"/>
    <s v="no"/>
    <s v="northwest"/>
    <n v="10959.6947"/>
  </r>
  <r>
    <n v="19"/>
    <x v="1"/>
    <n v="28.4"/>
    <n v="1"/>
    <s v="no"/>
    <s v="southwest"/>
    <n v="1842.519"/>
  </r>
  <r>
    <n v="35"/>
    <x v="1"/>
    <n v="24.13"/>
    <n v="1"/>
    <s v="no"/>
    <s v="northwest"/>
    <n v="5125.2156999999997"/>
  </r>
  <r>
    <n v="48"/>
    <x v="1"/>
    <n v="29.7"/>
    <n v="0"/>
    <s v="no"/>
    <s v="southeast"/>
    <n v="7789.6350000000002"/>
  </r>
  <r>
    <n v="32"/>
    <x v="0"/>
    <n v="37.145000000000003"/>
    <n v="3"/>
    <s v="no"/>
    <s v="northeast"/>
    <n v="6334.3435499999996"/>
  </r>
  <r>
    <n v="42"/>
    <x v="0"/>
    <n v="23.37"/>
    <n v="0"/>
    <s v="yes"/>
    <s v="northeast"/>
    <n v="19964.746299999999"/>
  </r>
  <r>
    <n v="40"/>
    <x v="0"/>
    <n v="25.46"/>
    <n v="1"/>
    <s v="no"/>
    <s v="northeast"/>
    <n v="7077.1894000000002"/>
  </r>
  <r>
    <n v="44"/>
    <x v="1"/>
    <n v="39.520000000000003"/>
    <n v="0"/>
    <s v="no"/>
    <s v="northwest"/>
    <n v="6948.7007999999996"/>
  </r>
  <r>
    <n v="48"/>
    <x v="1"/>
    <n v="24.42"/>
    <n v="0"/>
    <s v="yes"/>
    <s v="southeast"/>
    <n v="21223.675800000001"/>
  </r>
  <r>
    <n v="18"/>
    <x v="1"/>
    <n v="25.175000000000001"/>
    <n v="0"/>
    <s v="yes"/>
    <s v="northeast"/>
    <n v="15518.180249999999"/>
  </r>
  <r>
    <n v="30"/>
    <x v="1"/>
    <n v="35.53"/>
    <n v="0"/>
    <s v="yes"/>
    <s v="southeast"/>
    <n v="36950.256699999998"/>
  </r>
  <r>
    <n v="50"/>
    <x v="0"/>
    <n v="27.83"/>
    <n v="3"/>
    <s v="no"/>
    <s v="southeast"/>
    <n v="19749.383379999999"/>
  </r>
  <r>
    <n v="42"/>
    <x v="0"/>
    <n v="26.6"/>
    <n v="0"/>
    <s v="yes"/>
    <s v="northwest"/>
    <n v="21348.705999999998"/>
  </r>
  <r>
    <n v="18"/>
    <x v="0"/>
    <n v="36.85"/>
    <n v="0"/>
    <s v="yes"/>
    <s v="southeast"/>
    <n v="36149.483500000002"/>
  </r>
  <r>
    <n v="54"/>
    <x v="1"/>
    <n v="39.6"/>
    <n v="1"/>
    <s v="no"/>
    <s v="southwest"/>
    <n v="10450.552"/>
  </r>
  <r>
    <n v="32"/>
    <x v="0"/>
    <n v="29.8"/>
    <n v="2"/>
    <s v="no"/>
    <s v="southwest"/>
    <n v="5152.134"/>
  </r>
  <r>
    <n v="37"/>
    <x v="1"/>
    <n v="29.64"/>
    <n v="0"/>
    <s v="no"/>
    <s v="northwest"/>
    <n v="5028.1466"/>
  </r>
  <r>
    <n v="47"/>
    <x v="1"/>
    <n v="28.215"/>
    <n v="4"/>
    <s v="no"/>
    <s v="northeast"/>
    <n v="10407.085849999999"/>
  </r>
  <r>
    <n v="20"/>
    <x v="0"/>
    <n v="37"/>
    <n v="5"/>
    <s v="no"/>
    <s v="southwest"/>
    <n v="4830.63"/>
  </r>
  <r>
    <n v="32"/>
    <x v="0"/>
    <n v="33.155000000000001"/>
    <n v="3"/>
    <s v="no"/>
    <s v="northwest"/>
    <n v="6128.79745"/>
  </r>
  <r>
    <n v="19"/>
    <x v="0"/>
    <n v="31.824999999999999"/>
    <n v="1"/>
    <s v="no"/>
    <s v="northwest"/>
    <n v="2719.2797500000001"/>
  </r>
  <r>
    <n v="27"/>
    <x v="1"/>
    <n v="18.905000000000001"/>
    <n v="3"/>
    <s v="no"/>
    <s v="northeast"/>
    <n v="4827.9049500000001"/>
  </r>
  <r>
    <n v="63"/>
    <x v="1"/>
    <n v="41.47"/>
    <n v="0"/>
    <s v="no"/>
    <s v="southeast"/>
    <n v="13405.390299999999"/>
  </r>
  <r>
    <n v="49"/>
    <x v="1"/>
    <n v="30.3"/>
    <n v="0"/>
    <s v="no"/>
    <s v="southwest"/>
    <n v="8116.68"/>
  </r>
  <r>
    <n v="18"/>
    <x v="1"/>
    <n v="15.96"/>
    <n v="0"/>
    <s v="no"/>
    <s v="northeast"/>
    <n v="1694.7963999999999"/>
  </r>
  <r>
    <n v="35"/>
    <x v="0"/>
    <n v="34.799999999999997"/>
    <n v="1"/>
    <s v="no"/>
    <s v="southwest"/>
    <n v="5246.0469999999996"/>
  </r>
  <r>
    <n v="24"/>
    <x v="0"/>
    <n v="33.344999999999999"/>
    <n v="0"/>
    <s v="no"/>
    <s v="northwest"/>
    <n v="2855.4375500000001"/>
  </r>
  <r>
    <n v="63"/>
    <x v="0"/>
    <n v="37.700000000000003"/>
    <n v="0"/>
    <s v="yes"/>
    <s v="southwest"/>
    <n v="48824.45"/>
  </r>
  <r>
    <n v="38"/>
    <x v="1"/>
    <n v="27.835000000000001"/>
    <n v="2"/>
    <s v="no"/>
    <s v="northwest"/>
    <n v="6455.86265"/>
  </r>
  <r>
    <n v="54"/>
    <x v="1"/>
    <n v="29.2"/>
    <n v="1"/>
    <s v="no"/>
    <s v="southwest"/>
    <n v="10436.096"/>
  </r>
  <r>
    <n v="46"/>
    <x v="0"/>
    <n v="28.9"/>
    <n v="2"/>
    <s v="no"/>
    <s v="southwest"/>
    <n v="8823.2790000000005"/>
  </r>
  <r>
    <n v="41"/>
    <x v="0"/>
    <n v="33.155000000000001"/>
    <n v="3"/>
    <s v="no"/>
    <s v="northeast"/>
    <n v="8538.28845"/>
  </r>
  <r>
    <n v="58"/>
    <x v="1"/>
    <n v="28.594999999999999"/>
    <n v="0"/>
    <s v="no"/>
    <s v="northwest"/>
    <n v="11735.87905"/>
  </r>
  <r>
    <n v="18"/>
    <x v="0"/>
    <n v="38.28"/>
    <n v="0"/>
    <s v="no"/>
    <s v="southeast"/>
    <n v="1631.8212000000001"/>
  </r>
  <r>
    <n v="22"/>
    <x v="1"/>
    <n v="19.95"/>
    <n v="3"/>
    <s v="no"/>
    <s v="northeast"/>
    <n v="4005.4225000000001"/>
  </r>
  <r>
    <n v="44"/>
    <x v="0"/>
    <n v="26.41"/>
    <n v="0"/>
    <s v="no"/>
    <s v="northwest"/>
    <n v="7419.4778999999999"/>
  </r>
  <r>
    <n v="44"/>
    <x v="1"/>
    <n v="30.69"/>
    <n v="2"/>
    <s v="no"/>
    <s v="southeast"/>
    <n v="7731.4270999999999"/>
  </r>
  <r>
    <n v="36"/>
    <x v="1"/>
    <n v="41.895000000000003"/>
    <n v="3"/>
    <s v="yes"/>
    <s v="northeast"/>
    <n v="43753.337050000002"/>
  </r>
  <r>
    <n v="26"/>
    <x v="0"/>
    <n v="29.92"/>
    <n v="2"/>
    <s v="no"/>
    <s v="southeast"/>
    <n v="3981.9767999999999"/>
  </r>
  <r>
    <n v="30"/>
    <x v="0"/>
    <n v="30.9"/>
    <n v="3"/>
    <s v="no"/>
    <s v="southwest"/>
    <n v="5325.6509999999998"/>
  </r>
  <r>
    <n v="41"/>
    <x v="0"/>
    <n v="32.200000000000003"/>
    <n v="1"/>
    <s v="no"/>
    <s v="southwest"/>
    <n v="6775.9610000000002"/>
  </r>
  <r>
    <n v="29"/>
    <x v="0"/>
    <n v="32.11"/>
    <n v="2"/>
    <s v="no"/>
    <s v="northwest"/>
    <n v="4922.9159"/>
  </r>
  <r>
    <n v="61"/>
    <x v="1"/>
    <n v="31.57"/>
    <n v="0"/>
    <s v="no"/>
    <s v="southeast"/>
    <n v="12557.605299999999"/>
  </r>
  <r>
    <n v="36"/>
    <x v="0"/>
    <n v="26.2"/>
    <n v="0"/>
    <s v="no"/>
    <s v="southwest"/>
    <n v="4883.866"/>
  </r>
  <r>
    <n v="25"/>
    <x v="1"/>
    <n v="25.74"/>
    <n v="0"/>
    <s v="no"/>
    <s v="southeast"/>
    <n v="2137.6536000000001"/>
  </r>
  <r>
    <n v="56"/>
    <x v="0"/>
    <n v="26.6"/>
    <n v="1"/>
    <s v="no"/>
    <s v="northwest"/>
    <n v="12044.342000000001"/>
  </r>
  <r>
    <n v="18"/>
    <x v="1"/>
    <n v="34.43"/>
    <n v="0"/>
    <s v="no"/>
    <s v="southeast"/>
    <n v="1137.4697000000001"/>
  </r>
  <r>
    <n v="19"/>
    <x v="1"/>
    <n v="30.59"/>
    <n v="0"/>
    <s v="no"/>
    <s v="northwest"/>
    <n v="1639.5631000000001"/>
  </r>
  <r>
    <n v="39"/>
    <x v="0"/>
    <n v="32.799999999999997"/>
    <n v="0"/>
    <s v="no"/>
    <s v="southwest"/>
    <n v="5649.7150000000001"/>
  </r>
  <r>
    <n v="45"/>
    <x v="0"/>
    <n v="28.6"/>
    <n v="2"/>
    <s v="no"/>
    <s v="southeast"/>
    <n v="8516.8289999999997"/>
  </r>
  <r>
    <n v="51"/>
    <x v="0"/>
    <n v="18.05"/>
    <n v="0"/>
    <s v="no"/>
    <s v="northwest"/>
    <n v="9644.2525000000005"/>
  </r>
  <r>
    <n v="64"/>
    <x v="0"/>
    <n v="39.33"/>
    <n v="0"/>
    <s v="no"/>
    <s v="northeast"/>
    <n v="14901.5167"/>
  </r>
  <r>
    <n v="19"/>
    <x v="0"/>
    <n v="32.11"/>
    <n v="0"/>
    <s v="no"/>
    <s v="northwest"/>
    <n v="2130.6759000000002"/>
  </r>
  <r>
    <n v="48"/>
    <x v="0"/>
    <n v="32.229999999999997"/>
    <n v="1"/>
    <s v="no"/>
    <s v="southeast"/>
    <n v="8871.1517000000003"/>
  </r>
  <r>
    <n v="60"/>
    <x v="0"/>
    <n v="24.035"/>
    <n v="0"/>
    <s v="no"/>
    <s v="northwest"/>
    <n v="13012.20865"/>
  </r>
  <r>
    <n v="27"/>
    <x v="0"/>
    <n v="36.08"/>
    <n v="0"/>
    <s v="yes"/>
    <s v="southeast"/>
    <n v="37133.898200000003"/>
  </r>
  <r>
    <n v="46"/>
    <x v="1"/>
    <n v="22.3"/>
    <n v="0"/>
    <s v="no"/>
    <s v="southwest"/>
    <n v="7147.1049999999996"/>
  </r>
  <r>
    <n v="28"/>
    <x v="0"/>
    <n v="28.88"/>
    <n v="1"/>
    <s v="no"/>
    <s v="northeast"/>
    <n v="4337.7352000000001"/>
  </r>
  <r>
    <n v="59"/>
    <x v="1"/>
    <n v="26.4"/>
    <n v="0"/>
    <s v="no"/>
    <s v="southeast"/>
    <n v="11743.299000000001"/>
  </r>
  <r>
    <n v="35"/>
    <x v="1"/>
    <n v="27.74"/>
    <n v="2"/>
    <s v="yes"/>
    <s v="northeast"/>
    <n v="20984.0936"/>
  </r>
  <r>
    <n v="63"/>
    <x v="0"/>
    <n v="31.8"/>
    <n v="0"/>
    <s v="no"/>
    <s v="southwest"/>
    <n v="13880.949000000001"/>
  </r>
  <r>
    <n v="40"/>
    <x v="1"/>
    <n v="41.23"/>
    <n v="1"/>
    <s v="no"/>
    <s v="northeast"/>
    <n v="6610.1097"/>
  </r>
  <r>
    <n v="20"/>
    <x v="1"/>
    <n v="33"/>
    <n v="1"/>
    <s v="no"/>
    <s v="southwest"/>
    <n v="1980.07"/>
  </r>
  <r>
    <n v="40"/>
    <x v="1"/>
    <n v="30.875"/>
    <n v="4"/>
    <s v="no"/>
    <s v="northwest"/>
    <n v="8162.7162500000004"/>
  </r>
  <r>
    <n v="24"/>
    <x v="1"/>
    <n v="28.5"/>
    <n v="2"/>
    <s v="no"/>
    <s v="northwest"/>
    <n v="3537.703"/>
  </r>
  <r>
    <n v="34"/>
    <x v="0"/>
    <n v="26.73"/>
    <n v="1"/>
    <s v="no"/>
    <s v="southeast"/>
    <n v="5002.7826999999997"/>
  </r>
  <r>
    <n v="45"/>
    <x v="0"/>
    <n v="30.9"/>
    <n v="2"/>
    <s v="no"/>
    <s v="southwest"/>
    <n v="8520.0259999999998"/>
  </r>
  <r>
    <n v="41"/>
    <x v="0"/>
    <n v="37.1"/>
    <n v="2"/>
    <s v="no"/>
    <s v="southwest"/>
    <n v="7371.7719999999999"/>
  </r>
  <r>
    <n v="53"/>
    <x v="0"/>
    <n v="26.6"/>
    <n v="0"/>
    <s v="no"/>
    <s v="northwest"/>
    <n v="10355.641"/>
  </r>
  <r>
    <n v="27"/>
    <x v="1"/>
    <n v="23.1"/>
    <n v="0"/>
    <s v="no"/>
    <s v="southeast"/>
    <n v="2483.7359999999999"/>
  </r>
  <r>
    <n v="26"/>
    <x v="0"/>
    <n v="29.92"/>
    <n v="1"/>
    <s v="no"/>
    <s v="southeast"/>
    <n v="3392.9767999999999"/>
  </r>
  <r>
    <n v="24"/>
    <x v="0"/>
    <n v="23.21"/>
    <n v="0"/>
    <s v="no"/>
    <s v="southeast"/>
    <n v="25081.76784"/>
  </r>
  <r>
    <n v="34"/>
    <x v="0"/>
    <n v="33.700000000000003"/>
    <n v="1"/>
    <s v="no"/>
    <s v="southwest"/>
    <n v="5012.4709999999995"/>
  </r>
  <r>
    <n v="53"/>
    <x v="0"/>
    <n v="33.25"/>
    <n v="0"/>
    <s v="no"/>
    <s v="northeast"/>
    <n v="10564.8845"/>
  </r>
  <r>
    <n v="32"/>
    <x v="1"/>
    <n v="30.8"/>
    <n v="3"/>
    <s v="no"/>
    <s v="southwest"/>
    <n v="5253.5240000000003"/>
  </r>
  <r>
    <n v="19"/>
    <x v="1"/>
    <n v="34.799999999999997"/>
    <n v="0"/>
    <s v="yes"/>
    <s v="southwest"/>
    <n v="34779.614999999998"/>
  </r>
  <r>
    <n v="42"/>
    <x v="1"/>
    <n v="24.64"/>
    <n v="0"/>
    <s v="yes"/>
    <s v="southeast"/>
    <n v="19515.5416"/>
  </r>
  <r>
    <n v="55"/>
    <x v="1"/>
    <n v="33.880000000000003"/>
    <n v="3"/>
    <s v="no"/>
    <s v="southeast"/>
    <n v="11987.1682"/>
  </r>
  <r>
    <n v="28"/>
    <x v="1"/>
    <n v="38.06"/>
    <n v="0"/>
    <s v="no"/>
    <s v="southeast"/>
    <n v="2689.4953999999998"/>
  </r>
  <r>
    <n v="58"/>
    <x v="0"/>
    <n v="41.91"/>
    <n v="0"/>
    <s v="no"/>
    <s v="southeast"/>
    <n v="24227.337240000001"/>
  </r>
  <r>
    <n v="41"/>
    <x v="0"/>
    <n v="31.635000000000002"/>
    <n v="1"/>
    <s v="no"/>
    <s v="northeast"/>
    <n v="7358.1756500000001"/>
  </r>
  <r>
    <n v="47"/>
    <x v="1"/>
    <n v="25.46"/>
    <n v="2"/>
    <s v="no"/>
    <s v="northeast"/>
    <n v="9225.2564000000002"/>
  </r>
  <r>
    <n v="42"/>
    <x v="0"/>
    <n v="36.195"/>
    <n v="1"/>
    <s v="no"/>
    <s v="northwest"/>
    <n v="7443.6430499999997"/>
  </r>
  <r>
    <n v="59"/>
    <x v="0"/>
    <n v="27.83"/>
    <n v="3"/>
    <s v="no"/>
    <s v="southeast"/>
    <n v="14001.286700000001"/>
  </r>
  <r>
    <n v="19"/>
    <x v="0"/>
    <n v="17.8"/>
    <n v="0"/>
    <s v="no"/>
    <s v="southwest"/>
    <n v="1727.7850000000001"/>
  </r>
  <r>
    <n v="59"/>
    <x v="1"/>
    <n v="27.5"/>
    <n v="1"/>
    <s v="no"/>
    <s v="southwest"/>
    <n v="12333.828"/>
  </r>
  <r>
    <n v="39"/>
    <x v="1"/>
    <n v="24.51"/>
    <n v="2"/>
    <s v="no"/>
    <s v="northwest"/>
    <n v="6710.1918999999998"/>
  </r>
  <r>
    <n v="40"/>
    <x v="0"/>
    <n v="22.22"/>
    <n v="2"/>
    <s v="yes"/>
    <s v="southeast"/>
    <n v="19444.265800000001"/>
  </r>
  <r>
    <n v="18"/>
    <x v="0"/>
    <n v="26.73"/>
    <n v="0"/>
    <s v="no"/>
    <s v="southeast"/>
    <n v="1615.7666999999999"/>
  </r>
  <r>
    <n v="31"/>
    <x v="1"/>
    <n v="38.39"/>
    <n v="2"/>
    <s v="no"/>
    <s v="southeast"/>
    <n v="4463.2051000000001"/>
  </r>
  <r>
    <n v="19"/>
    <x v="1"/>
    <n v="29.07"/>
    <n v="0"/>
    <s v="yes"/>
    <s v="northwest"/>
    <n v="17352.6803"/>
  </r>
  <r>
    <n v="44"/>
    <x v="1"/>
    <n v="38.06"/>
    <n v="1"/>
    <s v="no"/>
    <s v="southeast"/>
    <n v="7152.6714000000002"/>
  </r>
  <r>
    <n v="23"/>
    <x v="0"/>
    <n v="36.67"/>
    <n v="2"/>
    <s v="yes"/>
    <s v="northeast"/>
    <n v="38511.628299999997"/>
  </r>
  <r>
    <n v="33"/>
    <x v="0"/>
    <n v="22.135000000000002"/>
    <n v="1"/>
    <s v="no"/>
    <s v="northeast"/>
    <n v="5354.0746499999996"/>
  </r>
  <r>
    <n v="55"/>
    <x v="0"/>
    <n v="26.8"/>
    <n v="1"/>
    <s v="no"/>
    <s v="southwest"/>
    <n v="35160.134570000002"/>
  </r>
  <r>
    <n v="40"/>
    <x v="1"/>
    <n v="35.299999999999997"/>
    <n v="3"/>
    <s v="no"/>
    <s v="southwest"/>
    <n v="7196.8670000000002"/>
  </r>
  <r>
    <n v="63"/>
    <x v="0"/>
    <n v="27.74"/>
    <n v="0"/>
    <s v="yes"/>
    <s v="northeast"/>
    <n v="29523.1656"/>
  </r>
  <r>
    <n v="54"/>
    <x v="1"/>
    <n v="30.02"/>
    <n v="0"/>
    <s v="no"/>
    <s v="northwest"/>
    <n v="24476.478510000001"/>
  </r>
  <r>
    <n v="60"/>
    <x v="0"/>
    <n v="38.06"/>
    <n v="0"/>
    <s v="no"/>
    <s v="southeast"/>
    <n v="12648.7034"/>
  </r>
  <r>
    <n v="24"/>
    <x v="1"/>
    <n v="35.86"/>
    <n v="0"/>
    <s v="no"/>
    <s v="southeast"/>
    <n v="1986.9333999999999"/>
  </r>
  <r>
    <n v="19"/>
    <x v="1"/>
    <n v="20.9"/>
    <n v="1"/>
    <s v="no"/>
    <s v="southwest"/>
    <n v="1832.0940000000001"/>
  </r>
  <r>
    <n v="29"/>
    <x v="1"/>
    <n v="28.975000000000001"/>
    <n v="1"/>
    <s v="no"/>
    <s v="northeast"/>
    <n v="4040.55825"/>
  </r>
  <r>
    <n v="18"/>
    <x v="1"/>
    <n v="17.29"/>
    <n v="2"/>
    <s v="yes"/>
    <s v="northeast"/>
    <n v="12829.455099999999"/>
  </r>
  <r>
    <n v="63"/>
    <x v="0"/>
    <n v="32.200000000000003"/>
    <n v="2"/>
    <s v="yes"/>
    <s v="southwest"/>
    <n v="47305.305"/>
  </r>
  <r>
    <n v="54"/>
    <x v="1"/>
    <n v="34.21"/>
    <n v="2"/>
    <s v="yes"/>
    <s v="southeast"/>
    <n v="44260.749900000003"/>
  </r>
  <r>
    <n v="27"/>
    <x v="1"/>
    <n v="30.3"/>
    <n v="3"/>
    <s v="no"/>
    <s v="southwest"/>
    <n v="4260.7439999999997"/>
  </r>
  <r>
    <n v="50"/>
    <x v="1"/>
    <n v="31.824999999999999"/>
    <n v="0"/>
    <s v="yes"/>
    <s v="northeast"/>
    <n v="41097.161749999999"/>
  </r>
  <r>
    <n v="55"/>
    <x v="0"/>
    <n v="25.364999999999998"/>
    <n v="3"/>
    <s v="no"/>
    <s v="northeast"/>
    <n v="13047.332350000001"/>
  </r>
  <r>
    <n v="56"/>
    <x v="1"/>
    <n v="33.630000000000003"/>
    <n v="0"/>
    <s v="yes"/>
    <s v="northwest"/>
    <n v="43921.183700000001"/>
  </r>
  <r>
    <n v="38"/>
    <x v="0"/>
    <n v="40.15"/>
    <n v="0"/>
    <s v="no"/>
    <s v="southeast"/>
    <n v="5400.9804999999997"/>
  </r>
  <r>
    <n v="51"/>
    <x v="1"/>
    <n v="24.414999999999999"/>
    <n v="4"/>
    <s v="no"/>
    <s v="northwest"/>
    <n v="11520.099850000001"/>
  </r>
  <r>
    <n v="19"/>
    <x v="1"/>
    <n v="31.92"/>
    <n v="0"/>
    <s v="yes"/>
    <s v="northwest"/>
    <n v="33750.291799999999"/>
  </r>
  <r>
    <n v="58"/>
    <x v="0"/>
    <n v="25.2"/>
    <n v="0"/>
    <s v="no"/>
    <s v="southwest"/>
    <n v="11837.16"/>
  </r>
  <r>
    <n v="20"/>
    <x v="0"/>
    <n v="26.84"/>
    <n v="1"/>
    <s v="yes"/>
    <s v="southeast"/>
    <n v="17085.267599999999"/>
  </r>
  <r>
    <n v="52"/>
    <x v="1"/>
    <n v="24.32"/>
    <n v="3"/>
    <s v="yes"/>
    <s v="northeast"/>
    <n v="24869.836800000001"/>
  </r>
  <r>
    <n v="19"/>
    <x v="1"/>
    <n v="36.954999999999998"/>
    <n v="0"/>
    <s v="yes"/>
    <s v="northwest"/>
    <n v="36219.405449999998"/>
  </r>
  <r>
    <n v="53"/>
    <x v="0"/>
    <n v="38.06"/>
    <n v="3"/>
    <s v="no"/>
    <s v="southeast"/>
    <n v="20462.997660000001"/>
  </r>
  <r>
    <n v="46"/>
    <x v="1"/>
    <n v="42.35"/>
    <n v="3"/>
    <s v="yes"/>
    <s v="southeast"/>
    <n v="46151.124499999998"/>
  </r>
  <r>
    <n v="40"/>
    <x v="1"/>
    <n v="19.8"/>
    <n v="1"/>
    <s v="yes"/>
    <s v="southeast"/>
    <n v="17179.522000000001"/>
  </r>
  <r>
    <n v="59"/>
    <x v="0"/>
    <n v="32.395000000000003"/>
    <n v="3"/>
    <s v="no"/>
    <s v="northeast"/>
    <n v="14590.63205"/>
  </r>
  <r>
    <n v="45"/>
    <x v="1"/>
    <n v="30.2"/>
    <n v="1"/>
    <s v="no"/>
    <s v="southwest"/>
    <n v="7441.0529999999999"/>
  </r>
  <r>
    <n v="49"/>
    <x v="1"/>
    <n v="25.84"/>
    <n v="1"/>
    <s v="no"/>
    <s v="northeast"/>
    <n v="9282.4806000000008"/>
  </r>
  <r>
    <n v="18"/>
    <x v="1"/>
    <n v="29.37"/>
    <n v="1"/>
    <s v="no"/>
    <s v="southeast"/>
    <n v="1719.4363000000001"/>
  </r>
  <r>
    <n v="50"/>
    <x v="1"/>
    <n v="34.200000000000003"/>
    <n v="2"/>
    <s v="yes"/>
    <s v="southwest"/>
    <n v="42856.838000000003"/>
  </r>
  <r>
    <n v="41"/>
    <x v="1"/>
    <n v="37.049999999999997"/>
    <n v="2"/>
    <s v="no"/>
    <s v="northwest"/>
    <n v="7265.7025000000003"/>
  </r>
  <r>
    <n v="50"/>
    <x v="1"/>
    <n v="27.454999999999998"/>
    <n v="1"/>
    <s v="no"/>
    <s v="northeast"/>
    <n v="9617.6624499999998"/>
  </r>
  <r>
    <n v="25"/>
    <x v="1"/>
    <n v="27.55"/>
    <n v="0"/>
    <s v="no"/>
    <s v="northwest"/>
    <n v="2523.1695"/>
  </r>
  <r>
    <n v="47"/>
    <x v="0"/>
    <n v="26.6"/>
    <n v="2"/>
    <s v="no"/>
    <s v="northeast"/>
    <n v="9715.8410000000003"/>
  </r>
  <r>
    <n v="19"/>
    <x v="1"/>
    <n v="20.614999999999998"/>
    <n v="2"/>
    <s v="no"/>
    <s v="northwest"/>
    <n v="2803.69785"/>
  </r>
  <r>
    <n v="22"/>
    <x v="0"/>
    <n v="24.3"/>
    <n v="0"/>
    <s v="no"/>
    <s v="southwest"/>
    <n v="2150.4690000000001"/>
  </r>
  <r>
    <n v="59"/>
    <x v="1"/>
    <n v="31.79"/>
    <n v="2"/>
    <s v="no"/>
    <s v="southeast"/>
    <n v="12928.7911"/>
  </r>
  <r>
    <n v="51"/>
    <x v="0"/>
    <n v="21.56"/>
    <n v="1"/>
    <s v="no"/>
    <s v="southeast"/>
    <n v="9855.1314000000002"/>
  </r>
  <r>
    <n v="40"/>
    <x v="0"/>
    <n v="28.12"/>
    <n v="1"/>
    <s v="yes"/>
    <s v="northeast"/>
    <n v="22331.566800000001"/>
  </r>
  <r>
    <n v="54"/>
    <x v="1"/>
    <n v="40.564999999999998"/>
    <n v="3"/>
    <s v="yes"/>
    <s v="northeast"/>
    <n v="48549.178350000002"/>
  </r>
  <r>
    <n v="30"/>
    <x v="1"/>
    <n v="27.645"/>
    <n v="1"/>
    <s v="no"/>
    <s v="northeast"/>
    <n v="4237.12655"/>
  </r>
  <r>
    <n v="55"/>
    <x v="0"/>
    <n v="32.395000000000003"/>
    <n v="1"/>
    <s v="no"/>
    <s v="northeast"/>
    <n v="11879.10405"/>
  </r>
  <r>
    <n v="52"/>
    <x v="0"/>
    <n v="31.2"/>
    <n v="0"/>
    <s v="no"/>
    <s v="southwest"/>
    <n v="9625.92"/>
  </r>
  <r>
    <n v="46"/>
    <x v="1"/>
    <n v="26.62"/>
    <n v="1"/>
    <s v="no"/>
    <s v="southeast"/>
    <n v="7742.1098000000002"/>
  </r>
  <r>
    <n v="46"/>
    <x v="0"/>
    <n v="48.07"/>
    <n v="2"/>
    <s v="no"/>
    <s v="northeast"/>
    <n v="9432.9253000000008"/>
  </r>
  <r>
    <n v="63"/>
    <x v="0"/>
    <n v="26.22"/>
    <n v="0"/>
    <s v="no"/>
    <s v="northwest"/>
    <n v="14256.192800000001"/>
  </r>
  <r>
    <n v="59"/>
    <x v="0"/>
    <n v="36.765000000000001"/>
    <n v="1"/>
    <s v="yes"/>
    <s v="northeast"/>
    <n v="47896.79135"/>
  </r>
  <r>
    <n v="52"/>
    <x v="1"/>
    <n v="26.4"/>
    <n v="3"/>
    <s v="no"/>
    <s v="southeast"/>
    <n v="25992.821039999999"/>
  </r>
  <r>
    <n v="28"/>
    <x v="0"/>
    <n v="33.4"/>
    <n v="0"/>
    <s v="no"/>
    <s v="southwest"/>
    <n v="3172.018"/>
  </r>
  <r>
    <n v="29"/>
    <x v="1"/>
    <n v="29.64"/>
    <n v="1"/>
    <s v="no"/>
    <s v="northeast"/>
    <n v="20277.807509999999"/>
  </r>
  <r>
    <n v="25"/>
    <x v="1"/>
    <n v="45.54"/>
    <n v="2"/>
    <s v="yes"/>
    <s v="southeast"/>
    <n v="42112.2356"/>
  </r>
  <r>
    <n v="22"/>
    <x v="0"/>
    <n v="28.82"/>
    <n v="0"/>
    <s v="no"/>
    <s v="southeast"/>
    <n v="2156.7518"/>
  </r>
  <r>
    <n v="25"/>
    <x v="1"/>
    <n v="26.8"/>
    <n v="3"/>
    <s v="no"/>
    <s v="southwest"/>
    <n v="3906.127"/>
  </r>
  <r>
    <n v="18"/>
    <x v="1"/>
    <n v="22.99"/>
    <n v="0"/>
    <s v="no"/>
    <s v="northeast"/>
    <n v="1704.5681"/>
  </r>
  <r>
    <n v="19"/>
    <x v="1"/>
    <n v="27.7"/>
    <n v="0"/>
    <s v="yes"/>
    <s v="southwest"/>
    <n v="16297.846"/>
  </r>
  <r>
    <n v="47"/>
    <x v="1"/>
    <n v="25.41"/>
    <n v="1"/>
    <s v="yes"/>
    <s v="southeast"/>
    <n v="21978.676899999999"/>
  </r>
  <r>
    <n v="31"/>
    <x v="1"/>
    <n v="34.39"/>
    <n v="3"/>
    <s v="yes"/>
    <s v="northwest"/>
    <n v="38746.355100000001"/>
  </r>
  <r>
    <n v="48"/>
    <x v="0"/>
    <n v="28.88"/>
    <n v="1"/>
    <s v="no"/>
    <s v="northwest"/>
    <n v="9249.4951999999994"/>
  </r>
  <r>
    <n v="36"/>
    <x v="1"/>
    <n v="27.55"/>
    <n v="3"/>
    <s v="no"/>
    <s v="northeast"/>
    <n v="6746.7425000000003"/>
  </r>
  <r>
    <n v="53"/>
    <x v="0"/>
    <n v="22.61"/>
    <n v="3"/>
    <s v="yes"/>
    <s v="northeast"/>
    <n v="24873.384900000001"/>
  </r>
  <r>
    <n v="56"/>
    <x v="0"/>
    <n v="37.51"/>
    <n v="2"/>
    <s v="no"/>
    <s v="southeast"/>
    <n v="12265.5069"/>
  </r>
  <r>
    <n v="28"/>
    <x v="0"/>
    <n v="33"/>
    <n v="2"/>
    <s v="no"/>
    <s v="southeast"/>
    <n v="4349.4620000000004"/>
  </r>
  <r>
    <n v="57"/>
    <x v="0"/>
    <n v="38"/>
    <n v="2"/>
    <s v="no"/>
    <s v="southwest"/>
    <n v="12646.207"/>
  </r>
  <r>
    <n v="29"/>
    <x v="1"/>
    <n v="33.344999999999999"/>
    <n v="2"/>
    <s v="no"/>
    <s v="northwest"/>
    <n v="19442.353500000001"/>
  </r>
  <r>
    <n v="28"/>
    <x v="0"/>
    <n v="27.5"/>
    <n v="2"/>
    <s v="no"/>
    <s v="southwest"/>
    <n v="20177.671129999999"/>
  </r>
  <r>
    <n v="30"/>
    <x v="0"/>
    <n v="33.33"/>
    <n v="1"/>
    <s v="no"/>
    <s v="southeast"/>
    <n v="4151.0286999999998"/>
  </r>
  <r>
    <n v="58"/>
    <x v="1"/>
    <n v="34.865000000000002"/>
    <n v="0"/>
    <s v="no"/>
    <s v="northeast"/>
    <n v="11944.594349999999"/>
  </r>
  <r>
    <n v="41"/>
    <x v="0"/>
    <n v="33.06"/>
    <n v="2"/>
    <s v="no"/>
    <s v="northwest"/>
    <n v="7749.1563999999998"/>
  </r>
  <r>
    <n v="50"/>
    <x v="1"/>
    <n v="26.6"/>
    <n v="0"/>
    <s v="no"/>
    <s v="southwest"/>
    <n v="8444.4740000000002"/>
  </r>
  <r>
    <n v="19"/>
    <x v="0"/>
    <n v="24.7"/>
    <n v="0"/>
    <s v="no"/>
    <s v="southwest"/>
    <n v="1737.376"/>
  </r>
  <r>
    <n v="43"/>
    <x v="1"/>
    <n v="35.97"/>
    <n v="3"/>
    <s v="yes"/>
    <s v="southeast"/>
    <n v="42124.515299999999"/>
  </r>
  <r>
    <n v="49"/>
    <x v="1"/>
    <n v="35.86"/>
    <n v="0"/>
    <s v="no"/>
    <s v="southeast"/>
    <n v="8124.4084000000003"/>
  </r>
  <r>
    <n v="27"/>
    <x v="0"/>
    <n v="31.4"/>
    <n v="0"/>
    <s v="yes"/>
    <s v="southwest"/>
    <n v="34838.873"/>
  </r>
  <r>
    <n v="52"/>
    <x v="1"/>
    <n v="33.25"/>
    <n v="0"/>
    <s v="no"/>
    <s v="northeast"/>
    <n v="9722.7695000000003"/>
  </r>
  <r>
    <n v="50"/>
    <x v="1"/>
    <n v="32.204999999999998"/>
    <n v="0"/>
    <s v="no"/>
    <s v="northwest"/>
    <n v="8835.2649500000007"/>
  </r>
  <r>
    <n v="54"/>
    <x v="1"/>
    <n v="32.774999999999999"/>
    <n v="0"/>
    <s v="no"/>
    <s v="northeast"/>
    <n v="10435.06525"/>
  </r>
  <r>
    <n v="44"/>
    <x v="0"/>
    <n v="27.645"/>
    <n v="0"/>
    <s v="no"/>
    <s v="northwest"/>
    <n v="7421.1945500000002"/>
  </r>
  <r>
    <n v="32"/>
    <x v="1"/>
    <n v="37.335000000000001"/>
    <n v="1"/>
    <s v="no"/>
    <s v="northeast"/>
    <n v="4667.6076499999999"/>
  </r>
  <r>
    <n v="34"/>
    <x v="1"/>
    <n v="25.27"/>
    <n v="1"/>
    <s v="no"/>
    <s v="northwest"/>
    <n v="4894.7533000000003"/>
  </r>
  <r>
    <n v="26"/>
    <x v="0"/>
    <n v="29.64"/>
    <n v="4"/>
    <s v="no"/>
    <s v="northeast"/>
    <n v="24671.663339999999"/>
  </r>
  <r>
    <n v="34"/>
    <x v="1"/>
    <n v="30.8"/>
    <n v="0"/>
    <s v="yes"/>
    <s v="southwest"/>
    <n v="35491.64"/>
  </r>
  <r>
    <n v="57"/>
    <x v="1"/>
    <n v="40.945"/>
    <n v="0"/>
    <s v="no"/>
    <s v="northeast"/>
    <n v="11566.30055"/>
  </r>
  <r>
    <n v="29"/>
    <x v="1"/>
    <n v="27.2"/>
    <n v="0"/>
    <s v="no"/>
    <s v="southwest"/>
    <n v="2866.0909999999999"/>
  </r>
  <r>
    <n v="40"/>
    <x v="1"/>
    <n v="34.104999999999997"/>
    <n v="1"/>
    <s v="no"/>
    <s v="northeast"/>
    <n v="6600.2059499999996"/>
  </r>
  <r>
    <n v="27"/>
    <x v="0"/>
    <n v="23.21"/>
    <n v="1"/>
    <s v="no"/>
    <s v="southeast"/>
    <n v="3561.8888999999999"/>
  </r>
  <r>
    <n v="45"/>
    <x v="1"/>
    <n v="36.479999999999997"/>
    <n v="2"/>
    <s v="yes"/>
    <s v="northwest"/>
    <n v="42760.502200000003"/>
  </r>
  <r>
    <n v="64"/>
    <x v="0"/>
    <n v="33.799999999999997"/>
    <n v="1"/>
    <s v="yes"/>
    <s v="southwest"/>
    <n v="47928.03"/>
  </r>
  <r>
    <n v="52"/>
    <x v="1"/>
    <n v="36.700000000000003"/>
    <n v="0"/>
    <s v="no"/>
    <s v="southwest"/>
    <n v="9144.5650000000005"/>
  </r>
  <r>
    <n v="61"/>
    <x v="0"/>
    <n v="36.384999999999998"/>
    <n v="1"/>
    <s v="yes"/>
    <s v="northeast"/>
    <n v="48517.563150000002"/>
  </r>
  <r>
    <n v="52"/>
    <x v="1"/>
    <n v="27.36"/>
    <n v="0"/>
    <s v="yes"/>
    <s v="northwest"/>
    <n v="24393.6224"/>
  </r>
  <r>
    <n v="61"/>
    <x v="0"/>
    <n v="31.16"/>
    <n v="0"/>
    <s v="no"/>
    <s v="northwest"/>
    <n v="13429.035400000001"/>
  </r>
  <r>
    <n v="56"/>
    <x v="0"/>
    <n v="28.785"/>
    <n v="0"/>
    <s v="no"/>
    <s v="northeast"/>
    <n v="11658.379150000001"/>
  </r>
  <r>
    <n v="43"/>
    <x v="0"/>
    <n v="35.72"/>
    <n v="2"/>
    <s v="no"/>
    <s v="northeast"/>
    <n v="19144.576519999999"/>
  </r>
  <r>
    <n v="64"/>
    <x v="1"/>
    <n v="34.5"/>
    <n v="0"/>
    <s v="no"/>
    <s v="southwest"/>
    <n v="13822.803"/>
  </r>
  <r>
    <n v="60"/>
    <x v="1"/>
    <n v="25.74"/>
    <n v="0"/>
    <s v="no"/>
    <s v="southeast"/>
    <n v="12142.578600000001"/>
  </r>
  <r>
    <n v="62"/>
    <x v="1"/>
    <n v="27.55"/>
    <n v="1"/>
    <s v="no"/>
    <s v="northwest"/>
    <n v="13937.666499999999"/>
  </r>
  <r>
    <n v="50"/>
    <x v="1"/>
    <n v="32.299999999999997"/>
    <n v="1"/>
    <s v="yes"/>
    <s v="northeast"/>
    <n v="41919.097000000002"/>
  </r>
  <r>
    <n v="46"/>
    <x v="0"/>
    <n v="27.72"/>
    <n v="1"/>
    <s v="no"/>
    <s v="southeast"/>
    <n v="8232.6388000000006"/>
  </r>
  <r>
    <n v="24"/>
    <x v="0"/>
    <n v="27.6"/>
    <n v="0"/>
    <s v="no"/>
    <s v="southwest"/>
    <n v="18955.220170000001"/>
  </r>
  <r>
    <n v="62"/>
    <x v="1"/>
    <n v="30.02"/>
    <n v="0"/>
    <s v="no"/>
    <s v="northwest"/>
    <n v="13352.0998"/>
  </r>
  <r>
    <n v="60"/>
    <x v="0"/>
    <n v="27.55"/>
    <n v="0"/>
    <s v="no"/>
    <s v="northeast"/>
    <n v="13217.094499999999"/>
  </r>
  <r>
    <n v="63"/>
    <x v="1"/>
    <n v="36.765000000000001"/>
    <n v="0"/>
    <s v="no"/>
    <s v="northeast"/>
    <n v="13981.850350000001"/>
  </r>
  <r>
    <n v="49"/>
    <x v="0"/>
    <n v="41.47"/>
    <n v="4"/>
    <s v="no"/>
    <s v="southeast"/>
    <n v="10977.2063"/>
  </r>
  <r>
    <n v="34"/>
    <x v="0"/>
    <n v="29.26"/>
    <n v="3"/>
    <s v="no"/>
    <s v="southeast"/>
    <n v="6184.2993999999999"/>
  </r>
  <r>
    <n v="33"/>
    <x v="1"/>
    <n v="35.75"/>
    <n v="2"/>
    <s v="no"/>
    <s v="southeast"/>
    <n v="4889.9994999999999"/>
  </r>
  <r>
    <n v="46"/>
    <x v="1"/>
    <n v="33.344999999999999"/>
    <n v="1"/>
    <s v="no"/>
    <s v="northeast"/>
    <n v="8334.4575499999992"/>
  </r>
  <r>
    <n v="36"/>
    <x v="0"/>
    <n v="29.92"/>
    <n v="1"/>
    <s v="no"/>
    <s v="southeast"/>
    <n v="5478.0367999999999"/>
  </r>
  <r>
    <n v="19"/>
    <x v="1"/>
    <n v="27.835000000000001"/>
    <n v="0"/>
    <s v="no"/>
    <s v="northwest"/>
    <n v="1635.7336499999999"/>
  </r>
  <r>
    <n v="57"/>
    <x v="0"/>
    <n v="23.18"/>
    <n v="0"/>
    <s v="no"/>
    <s v="northwest"/>
    <n v="11830.6072"/>
  </r>
  <r>
    <n v="50"/>
    <x v="0"/>
    <n v="25.6"/>
    <n v="0"/>
    <s v="no"/>
    <s v="southwest"/>
    <n v="8932.0840000000007"/>
  </r>
  <r>
    <n v="30"/>
    <x v="0"/>
    <n v="27.7"/>
    <n v="0"/>
    <s v="no"/>
    <s v="southwest"/>
    <n v="3554.203"/>
  </r>
  <r>
    <n v="33"/>
    <x v="1"/>
    <n v="35.244999999999997"/>
    <n v="0"/>
    <s v="no"/>
    <s v="northeast"/>
    <n v="12404.8791"/>
  </r>
  <r>
    <n v="18"/>
    <x v="0"/>
    <n v="38.28"/>
    <n v="0"/>
    <s v="no"/>
    <s v="southeast"/>
    <n v="14133.03775"/>
  </r>
  <r>
    <n v="46"/>
    <x v="1"/>
    <n v="27.6"/>
    <n v="0"/>
    <s v="no"/>
    <s v="southwest"/>
    <n v="24603.04837"/>
  </r>
  <r>
    <n v="46"/>
    <x v="1"/>
    <n v="43.89"/>
    <n v="3"/>
    <s v="no"/>
    <s v="southeast"/>
    <n v="8944.1151000000009"/>
  </r>
  <r>
    <n v="47"/>
    <x v="1"/>
    <n v="29.83"/>
    <n v="3"/>
    <s v="no"/>
    <s v="northwest"/>
    <n v="9620.3307000000004"/>
  </r>
  <r>
    <n v="23"/>
    <x v="1"/>
    <n v="41.91"/>
    <n v="0"/>
    <s v="no"/>
    <s v="southeast"/>
    <n v="1837.2819"/>
  </r>
  <r>
    <n v="18"/>
    <x v="0"/>
    <n v="20.79"/>
    <n v="0"/>
    <s v="no"/>
    <s v="southeast"/>
    <n v="1607.5101"/>
  </r>
  <r>
    <n v="48"/>
    <x v="0"/>
    <n v="32.299999999999997"/>
    <n v="2"/>
    <s v="no"/>
    <s v="northeast"/>
    <n v="10043.249"/>
  </r>
  <r>
    <n v="35"/>
    <x v="1"/>
    <n v="30.5"/>
    <n v="1"/>
    <s v="no"/>
    <s v="southwest"/>
    <n v="4751.07"/>
  </r>
  <r>
    <n v="19"/>
    <x v="0"/>
    <n v="21.7"/>
    <n v="0"/>
    <s v="yes"/>
    <s v="southwest"/>
    <n v="13844.505999999999"/>
  </r>
  <r>
    <n v="21"/>
    <x v="0"/>
    <n v="26.4"/>
    <n v="1"/>
    <s v="no"/>
    <s v="southwest"/>
    <n v="2597.779"/>
  </r>
  <r>
    <n v="21"/>
    <x v="0"/>
    <n v="21.89"/>
    <n v="2"/>
    <s v="no"/>
    <s v="southeast"/>
    <n v="3180.5101"/>
  </r>
  <r>
    <n v="49"/>
    <x v="0"/>
    <n v="30.78"/>
    <n v="1"/>
    <s v="no"/>
    <s v="northeast"/>
    <n v="9778.3472000000002"/>
  </r>
  <r>
    <n v="56"/>
    <x v="0"/>
    <n v="32.299999999999997"/>
    <n v="3"/>
    <s v="no"/>
    <s v="northeast"/>
    <n v="13430.264999999999"/>
  </r>
  <r>
    <n v="42"/>
    <x v="0"/>
    <n v="24.984999999999999"/>
    <n v="2"/>
    <s v="no"/>
    <s v="northwest"/>
    <n v="8017.0611500000005"/>
  </r>
  <r>
    <n v="44"/>
    <x v="1"/>
    <n v="32.015000000000001"/>
    <n v="2"/>
    <s v="no"/>
    <s v="northwest"/>
    <n v="8116.2688500000004"/>
  </r>
  <r>
    <n v="18"/>
    <x v="1"/>
    <n v="30.4"/>
    <n v="3"/>
    <s v="no"/>
    <s v="northeast"/>
    <n v="3481.8679999999999"/>
  </r>
  <r>
    <n v="61"/>
    <x v="0"/>
    <n v="21.09"/>
    <n v="0"/>
    <s v="no"/>
    <s v="northwest"/>
    <n v="13415.0381"/>
  </r>
  <r>
    <n v="57"/>
    <x v="0"/>
    <n v="22.23"/>
    <n v="0"/>
    <s v="no"/>
    <s v="northeast"/>
    <n v="12029.286700000001"/>
  </r>
  <r>
    <n v="42"/>
    <x v="0"/>
    <n v="33.155000000000001"/>
    <n v="1"/>
    <s v="no"/>
    <s v="northeast"/>
    <n v="7639.4174499999999"/>
  </r>
  <r>
    <n v="26"/>
    <x v="1"/>
    <n v="32.9"/>
    <n v="2"/>
    <s v="yes"/>
    <s v="southwest"/>
    <n v="36085.218999999997"/>
  </r>
  <r>
    <n v="20"/>
    <x v="1"/>
    <n v="33.33"/>
    <n v="0"/>
    <s v="no"/>
    <s v="southeast"/>
    <n v="1391.5287000000001"/>
  </r>
  <r>
    <n v="23"/>
    <x v="0"/>
    <n v="28.31"/>
    <n v="0"/>
    <s v="yes"/>
    <s v="northwest"/>
    <n v="18033.9679"/>
  </r>
  <r>
    <n v="39"/>
    <x v="0"/>
    <n v="24.89"/>
    <n v="3"/>
    <s v="yes"/>
    <s v="northeast"/>
    <n v="21659.930100000001"/>
  </r>
  <r>
    <n v="24"/>
    <x v="1"/>
    <n v="40.15"/>
    <n v="0"/>
    <s v="yes"/>
    <s v="southeast"/>
    <n v="38126.246500000001"/>
  </r>
  <r>
    <n v="64"/>
    <x v="0"/>
    <n v="30.114999999999998"/>
    <n v="3"/>
    <s v="no"/>
    <s v="northwest"/>
    <n v="16455.707849999999"/>
  </r>
  <r>
    <n v="62"/>
    <x v="1"/>
    <n v="31.46"/>
    <n v="1"/>
    <s v="no"/>
    <s v="southeast"/>
    <n v="27000.98473"/>
  </r>
  <r>
    <n v="27"/>
    <x v="0"/>
    <n v="17.954999999999998"/>
    <n v="2"/>
    <s v="yes"/>
    <s v="northeast"/>
    <n v="15006.579449999999"/>
  </r>
  <r>
    <n v="55"/>
    <x v="1"/>
    <n v="30.684999999999999"/>
    <n v="0"/>
    <s v="yes"/>
    <s v="northeast"/>
    <n v="42303.692150000003"/>
  </r>
  <r>
    <n v="55"/>
    <x v="1"/>
    <n v="33"/>
    <n v="0"/>
    <s v="no"/>
    <s v="southeast"/>
    <n v="20781.48892"/>
  </r>
  <r>
    <n v="35"/>
    <x v="0"/>
    <n v="43.34"/>
    <n v="2"/>
    <s v="no"/>
    <s v="southeast"/>
    <n v="5846.9175999999998"/>
  </r>
  <r>
    <n v="44"/>
    <x v="1"/>
    <n v="22.135000000000002"/>
    <n v="2"/>
    <s v="no"/>
    <s v="northeast"/>
    <n v="8302.5356499999998"/>
  </r>
  <r>
    <n v="19"/>
    <x v="1"/>
    <n v="34.4"/>
    <n v="0"/>
    <s v="no"/>
    <s v="southwest"/>
    <n v="1261.8589999999999"/>
  </r>
  <r>
    <n v="58"/>
    <x v="0"/>
    <n v="39.049999999999997"/>
    <n v="0"/>
    <s v="no"/>
    <s v="southeast"/>
    <n v="11856.4115"/>
  </r>
  <r>
    <n v="50"/>
    <x v="1"/>
    <n v="25.364999999999998"/>
    <n v="2"/>
    <s v="no"/>
    <s v="northwest"/>
    <n v="30284.642940000002"/>
  </r>
  <r>
    <n v="26"/>
    <x v="0"/>
    <n v="22.61"/>
    <n v="0"/>
    <s v="no"/>
    <s v="northwest"/>
    <n v="3176.8159000000001"/>
  </r>
  <r>
    <n v="24"/>
    <x v="0"/>
    <n v="30.21"/>
    <n v="3"/>
    <s v="no"/>
    <s v="northwest"/>
    <n v="4618.0798999999997"/>
  </r>
  <r>
    <n v="48"/>
    <x v="1"/>
    <n v="35.625"/>
    <n v="4"/>
    <s v="no"/>
    <s v="northeast"/>
    <n v="10736.87075"/>
  </r>
  <r>
    <n v="19"/>
    <x v="0"/>
    <n v="37.43"/>
    <n v="0"/>
    <s v="no"/>
    <s v="northwest"/>
    <n v="2138.0707000000002"/>
  </r>
  <r>
    <n v="48"/>
    <x v="1"/>
    <n v="31.445"/>
    <n v="1"/>
    <s v="no"/>
    <s v="northeast"/>
    <n v="8964.0605500000001"/>
  </r>
  <r>
    <n v="49"/>
    <x v="1"/>
    <n v="31.35"/>
    <n v="1"/>
    <s v="no"/>
    <s v="northeast"/>
    <n v="9290.1394999999993"/>
  </r>
  <r>
    <n v="46"/>
    <x v="0"/>
    <n v="32.299999999999997"/>
    <n v="2"/>
    <s v="no"/>
    <s v="northeast"/>
    <n v="9411.0049999999992"/>
  </r>
  <r>
    <n v="46"/>
    <x v="1"/>
    <n v="19.855"/>
    <n v="0"/>
    <s v="no"/>
    <s v="northwest"/>
    <n v="7526.7064499999997"/>
  </r>
  <r>
    <n v="43"/>
    <x v="0"/>
    <n v="34.4"/>
    <n v="3"/>
    <s v="no"/>
    <s v="southwest"/>
    <n v="8522.0030000000006"/>
  </r>
  <r>
    <n v="21"/>
    <x v="1"/>
    <n v="31.02"/>
    <n v="0"/>
    <s v="no"/>
    <s v="southeast"/>
    <n v="16586.49771"/>
  </r>
  <r>
    <n v="64"/>
    <x v="1"/>
    <n v="25.6"/>
    <n v="2"/>
    <s v="no"/>
    <s v="southwest"/>
    <n v="14988.432000000001"/>
  </r>
  <r>
    <n v="18"/>
    <x v="0"/>
    <n v="38.17"/>
    <n v="0"/>
    <s v="no"/>
    <s v="southeast"/>
    <n v="1631.6683"/>
  </r>
  <r>
    <n v="51"/>
    <x v="0"/>
    <n v="20.6"/>
    <n v="0"/>
    <s v="no"/>
    <s v="southwest"/>
    <n v="9264.7970000000005"/>
  </r>
  <r>
    <n v="47"/>
    <x v="1"/>
    <n v="47.52"/>
    <n v="1"/>
    <s v="no"/>
    <s v="southeast"/>
    <n v="8083.9197999999997"/>
  </r>
  <r>
    <n v="64"/>
    <x v="0"/>
    <n v="32.965000000000003"/>
    <n v="0"/>
    <s v="no"/>
    <s v="northwest"/>
    <n v="14692.66935"/>
  </r>
  <r>
    <n v="49"/>
    <x v="1"/>
    <n v="32.299999999999997"/>
    <n v="3"/>
    <s v="no"/>
    <s v="northwest"/>
    <n v="10269.459999999999"/>
  </r>
  <r>
    <n v="31"/>
    <x v="1"/>
    <n v="20.399999999999999"/>
    <n v="0"/>
    <s v="no"/>
    <s v="southwest"/>
    <n v="3260.1990000000001"/>
  </r>
  <r>
    <n v="52"/>
    <x v="0"/>
    <n v="38.380000000000003"/>
    <n v="2"/>
    <s v="no"/>
    <s v="northeast"/>
    <n v="11396.9002"/>
  </r>
  <r>
    <n v="33"/>
    <x v="0"/>
    <n v="24.31"/>
    <n v="0"/>
    <s v="no"/>
    <s v="southeast"/>
    <n v="4185.0978999999998"/>
  </r>
  <r>
    <n v="47"/>
    <x v="0"/>
    <n v="23.6"/>
    <n v="1"/>
    <s v="no"/>
    <s v="southwest"/>
    <n v="8539.6710000000003"/>
  </r>
  <r>
    <n v="38"/>
    <x v="1"/>
    <n v="21.12"/>
    <n v="3"/>
    <s v="no"/>
    <s v="southeast"/>
    <n v="6652.5288"/>
  </r>
  <r>
    <n v="32"/>
    <x v="1"/>
    <n v="30.03"/>
    <n v="1"/>
    <s v="no"/>
    <s v="southeast"/>
    <n v="4074.4537"/>
  </r>
  <r>
    <n v="19"/>
    <x v="1"/>
    <n v="17.48"/>
    <n v="0"/>
    <s v="no"/>
    <s v="northwest"/>
    <n v="1621.3402000000001"/>
  </r>
  <r>
    <n v="44"/>
    <x v="0"/>
    <n v="20.234999999999999"/>
    <n v="1"/>
    <s v="yes"/>
    <s v="northeast"/>
    <n v="19594.809649999999"/>
  </r>
  <r>
    <n v="26"/>
    <x v="0"/>
    <n v="17.195"/>
    <n v="2"/>
    <s v="yes"/>
    <s v="northeast"/>
    <n v="14455.644050000001"/>
  </r>
  <r>
    <n v="25"/>
    <x v="1"/>
    <n v="23.9"/>
    <n v="5"/>
    <s v="no"/>
    <s v="southwest"/>
    <n v="5080.0959999999995"/>
  </r>
  <r>
    <n v="19"/>
    <x v="0"/>
    <n v="35.15"/>
    <n v="0"/>
    <s v="no"/>
    <s v="northwest"/>
    <n v="2134.9014999999999"/>
  </r>
  <r>
    <n v="43"/>
    <x v="0"/>
    <n v="35.64"/>
    <n v="1"/>
    <s v="no"/>
    <s v="southeast"/>
    <n v="7345.7266"/>
  </r>
  <r>
    <n v="52"/>
    <x v="1"/>
    <n v="34.1"/>
    <n v="0"/>
    <s v="no"/>
    <s v="southeast"/>
    <n v="9140.9509999999991"/>
  </r>
  <r>
    <n v="36"/>
    <x v="0"/>
    <n v="22.6"/>
    <n v="2"/>
    <s v="yes"/>
    <s v="southwest"/>
    <n v="18608.261999999999"/>
  </r>
  <r>
    <n v="64"/>
    <x v="1"/>
    <n v="39.159999999999997"/>
    <n v="1"/>
    <s v="no"/>
    <s v="southeast"/>
    <n v="14418.2804"/>
  </r>
  <r>
    <n v="63"/>
    <x v="0"/>
    <n v="26.98"/>
    <n v="0"/>
    <s v="yes"/>
    <s v="northwest"/>
    <n v="28950.4692"/>
  </r>
  <r>
    <n v="64"/>
    <x v="1"/>
    <n v="33.880000000000003"/>
    <n v="0"/>
    <s v="yes"/>
    <s v="southeast"/>
    <n v="46889.261200000001"/>
  </r>
  <r>
    <n v="61"/>
    <x v="1"/>
    <n v="35.86"/>
    <n v="0"/>
    <s v="yes"/>
    <s v="southeast"/>
    <n v="46599.108399999997"/>
  </r>
  <r>
    <n v="40"/>
    <x v="1"/>
    <n v="32.774999999999999"/>
    <n v="1"/>
    <s v="yes"/>
    <s v="northeast"/>
    <n v="39125.332249999999"/>
  </r>
  <r>
    <n v="25"/>
    <x v="1"/>
    <n v="30.59"/>
    <n v="0"/>
    <s v="no"/>
    <s v="northeast"/>
    <n v="2727.3951000000002"/>
  </r>
  <r>
    <n v="48"/>
    <x v="1"/>
    <n v="30.2"/>
    <n v="2"/>
    <s v="no"/>
    <s v="southwest"/>
    <n v="8968.33"/>
  </r>
  <r>
    <n v="45"/>
    <x v="1"/>
    <n v="24.31"/>
    <n v="5"/>
    <s v="no"/>
    <s v="southeast"/>
    <n v="9788.8659000000007"/>
  </r>
  <r>
    <n v="38"/>
    <x v="0"/>
    <n v="27.265000000000001"/>
    <n v="1"/>
    <s v="no"/>
    <s v="northeast"/>
    <n v="6555.07035"/>
  </r>
  <r>
    <n v="18"/>
    <x v="0"/>
    <n v="29.164999999999999"/>
    <n v="0"/>
    <s v="no"/>
    <s v="northeast"/>
    <n v="7323.7348190000002"/>
  </r>
  <r>
    <n v="21"/>
    <x v="0"/>
    <n v="16.815000000000001"/>
    <n v="1"/>
    <s v="no"/>
    <s v="northeast"/>
    <n v="3167.4558499999998"/>
  </r>
  <r>
    <n v="27"/>
    <x v="0"/>
    <n v="30.4"/>
    <n v="3"/>
    <s v="no"/>
    <s v="northwest"/>
    <n v="18804.752400000001"/>
  </r>
  <r>
    <n v="19"/>
    <x v="1"/>
    <n v="33.1"/>
    <n v="0"/>
    <s v="no"/>
    <s v="southwest"/>
    <n v="23082.955330000001"/>
  </r>
  <r>
    <n v="29"/>
    <x v="0"/>
    <n v="20.234999999999999"/>
    <n v="2"/>
    <s v="no"/>
    <s v="northwest"/>
    <n v="4906.4096499999996"/>
  </r>
  <r>
    <n v="42"/>
    <x v="1"/>
    <n v="26.9"/>
    <n v="0"/>
    <s v="no"/>
    <s v="southwest"/>
    <n v="5969.723"/>
  </r>
  <r>
    <n v="60"/>
    <x v="0"/>
    <n v="30.5"/>
    <n v="0"/>
    <s v="no"/>
    <s v="southwest"/>
    <n v="12638.195"/>
  </r>
  <r>
    <n v="31"/>
    <x v="1"/>
    <n v="28.594999999999999"/>
    <n v="1"/>
    <s v="no"/>
    <s v="northwest"/>
    <n v="4243.5900499999998"/>
  </r>
  <r>
    <n v="60"/>
    <x v="1"/>
    <n v="33.11"/>
    <n v="3"/>
    <s v="no"/>
    <s v="southeast"/>
    <n v="13919.822899999999"/>
  </r>
  <r>
    <n v="22"/>
    <x v="1"/>
    <n v="31.73"/>
    <n v="0"/>
    <s v="no"/>
    <s v="northeast"/>
    <n v="2254.7966999999999"/>
  </r>
  <r>
    <n v="35"/>
    <x v="1"/>
    <n v="28.9"/>
    <n v="3"/>
    <s v="no"/>
    <s v="southwest"/>
    <n v="5926.8459999999995"/>
  </r>
  <r>
    <n v="52"/>
    <x v="0"/>
    <n v="46.75"/>
    <n v="5"/>
    <s v="no"/>
    <s v="southeast"/>
    <n v="12592.5345"/>
  </r>
  <r>
    <n v="26"/>
    <x v="1"/>
    <n v="29.45"/>
    <n v="0"/>
    <s v="no"/>
    <s v="northeast"/>
    <n v="2897.3235"/>
  </r>
  <r>
    <n v="31"/>
    <x v="0"/>
    <n v="32.68"/>
    <n v="1"/>
    <s v="no"/>
    <s v="northwest"/>
    <n v="4738.2682000000004"/>
  </r>
  <r>
    <n v="33"/>
    <x v="0"/>
    <n v="33.5"/>
    <n v="0"/>
    <s v="yes"/>
    <s v="southwest"/>
    <n v="37079.372000000003"/>
  </r>
  <r>
    <n v="18"/>
    <x v="1"/>
    <n v="43.01"/>
    <n v="0"/>
    <s v="no"/>
    <s v="southeast"/>
    <n v="1149.3959"/>
  </r>
  <r>
    <n v="59"/>
    <x v="0"/>
    <n v="36.520000000000003"/>
    <n v="1"/>
    <s v="no"/>
    <s v="southeast"/>
    <n v="28287.897659999999"/>
  </r>
  <r>
    <n v="56"/>
    <x v="1"/>
    <n v="26.695"/>
    <n v="1"/>
    <s v="yes"/>
    <s v="northwest"/>
    <n v="26109.32905"/>
  </r>
  <r>
    <n v="45"/>
    <x v="0"/>
    <n v="33.1"/>
    <n v="0"/>
    <s v="no"/>
    <s v="southwest"/>
    <n v="7345.0839999999998"/>
  </r>
  <r>
    <n v="60"/>
    <x v="1"/>
    <n v="29.64"/>
    <n v="0"/>
    <s v="no"/>
    <s v="northeast"/>
    <n v="12730.999599999999"/>
  </r>
  <r>
    <n v="56"/>
    <x v="0"/>
    <n v="25.65"/>
    <n v="0"/>
    <s v="no"/>
    <s v="northwest"/>
    <n v="11454.021500000001"/>
  </r>
  <r>
    <n v="40"/>
    <x v="0"/>
    <n v="29.6"/>
    <n v="0"/>
    <s v="no"/>
    <s v="southwest"/>
    <n v="5910.9440000000004"/>
  </r>
  <r>
    <n v="35"/>
    <x v="1"/>
    <n v="38.6"/>
    <n v="1"/>
    <s v="no"/>
    <s v="southwest"/>
    <n v="4762.3289999999997"/>
  </r>
  <r>
    <n v="39"/>
    <x v="1"/>
    <n v="29.6"/>
    <n v="4"/>
    <s v="no"/>
    <s v="southwest"/>
    <n v="7512.2669999999998"/>
  </r>
  <r>
    <n v="30"/>
    <x v="1"/>
    <n v="24.13"/>
    <n v="1"/>
    <s v="no"/>
    <s v="northwest"/>
    <n v="4032.2406999999998"/>
  </r>
  <r>
    <n v="24"/>
    <x v="1"/>
    <n v="23.4"/>
    <n v="0"/>
    <s v="no"/>
    <s v="southwest"/>
    <n v="1969.614"/>
  </r>
  <r>
    <n v="20"/>
    <x v="1"/>
    <n v="29.734999999999999"/>
    <n v="0"/>
    <s v="no"/>
    <s v="northwest"/>
    <n v="1769.5316499999999"/>
  </r>
  <r>
    <n v="32"/>
    <x v="1"/>
    <n v="46.53"/>
    <n v="2"/>
    <s v="no"/>
    <s v="southeast"/>
    <n v="4686.3887000000004"/>
  </r>
  <r>
    <n v="59"/>
    <x v="1"/>
    <n v="37.4"/>
    <n v="0"/>
    <s v="no"/>
    <s v="southwest"/>
    <n v="21797.000400000001"/>
  </r>
  <r>
    <n v="55"/>
    <x v="0"/>
    <n v="30.14"/>
    <n v="2"/>
    <s v="no"/>
    <s v="southeast"/>
    <n v="11881.9696"/>
  </r>
  <r>
    <n v="57"/>
    <x v="0"/>
    <n v="30.495000000000001"/>
    <n v="0"/>
    <s v="no"/>
    <s v="northwest"/>
    <n v="11840.77505"/>
  </r>
  <r>
    <n v="56"/>
    <x v="1"/>
    <n v="39.6"/>
    <n v="0"/>
    <s v="no"/>
    <s v="southwest"/>
    <n v="10601.412"/>
  </r>
  <r>
    <n v="40"/>
    <x v="0"/>
    <n v="33"/>
    <n v="3"/>
    <s v="no"/>
    <s v="southeast"/>
    <n v="7682.67"/>
  </r>
  <r>
    <n v="49"/>
    <x v="0"/>
    <n v="36.630000000000003"/>
    <n v="3"/>
    <s v="no"/>
    <s v="southeast"/>
    <n v="10381.4787"/>
  </r>
  <r>
    <n v="42"/>
    <x v="1"/>
    <n v="30"/>
    <n v="0"/>
    <s v="yes"/>
    <s v="southwest"/>
    <n v="22144.031999999999"/>
  </r>
  <r>
    <n v="62"/>
    <x v="0"/>
    <n v="38.094999999999999"/>
    <n v="2"/>
    <s v="no"/>
    <s v="northeast"/>
    <n v="15230.324049999999"/>
  </r>
  <r>
    <n v="56"/>
    <x v="1"/>
    <n v="25.934999999999999"/>
    <n v="0"/>
    <s v="no"/>
    <s v="northeast"/>
    <n v="11165.417649999999"/>
  </r>
  <r>
    <n v="19"/>
    <x v="1"/>
    <n v="25.175000000000001"/>
    <n v="0"/>
    <s v="no"/>
    <s v="northwest"/>
    <n v="1632.0362500000001"/>
  </r>
  <r>
    <n v="30"/>
    <x v="0"/>
    <n v="28.38"/>
    <n v="1"/>
    <s v="yes"/>
    <s v="southeast"/>
    <n v="19521.968199999999"/>
  </r>
  <r>
    <n v="60"/>
    <x v="0"/>
    <n v="28.7"/>
    <n v="1"/>
    <s v="no"/>
    <s v="southwest"/>
    <n v="13224.692999999999"/>
  </r>
  <r>
    <n v="56"/>
    <x v="0"/>
    <n v="33.82"/>
    <n v="2"/>
    <s v="no"/>
    <s v="northwest"/>
    <n v="12643.3778"/>
  </r>
  <r>
    <n v="28"/>
    <x v="0"/>
    <n v="24.32"/>
    <n v="1"/>
    <s v="no"/>
    <s v="northeast"/>
    <n v="23288.928400000001"/>
  </r>
  <r>
    <n v="18"/>
    <x v="0"/>
    <n v="24.09"/>
    <n v="1"/>
    <s v="no"/>
    <s v="southeast"/>
    <n v="2201.0971"/>
  </r>
  <r>
    <n v="27"/>
    <x v="1"/>
    <n v="32.67"/>
    <n v="0"/>
    <s v="no"/>
    <s v="southeast"/>
    <n v="2497.0383000000002"/>
  </r>
  <r>
    <n v="18"/>
    <x v="0"/>
    <n v="30.114999999999998"/>
    <n v="0"/>
    <s v="no"/>
    <s v="northeast"/>
    <n v="2203.4718499999999"/>
  </r>
  <r>
    <n v="19"/>
    <x v="0"/>
    <n v="29.8"/>
    <n v="0"/>
    <s v="no"/>
    <s v="southwest"/>
    <n v="1744.4649999999999"/>
  </r>
  <r>
    <n v="47"/>
    <x v="0"/>
    <n v="33.344999999999999"/>
    <n v="0"/>
    <s v="no"/>
    <s v="northeast"/>
    <n v="20878.78443"/>
  </r>
  <r>
    <n v="54"/>
    <x v="1"/>
    <n v="25.1"/>
    <n v="3"/>
    <s v="yes"/>
    <s v="southwest"/>
    <n v="25382.296999999999"/>
  </r>
  <r>
    <n v="61"/>
    <x v="1"/>
    <n v="28.31"/>
    <n v="1"/>
    <s v="yes"/>
    <s v="northwest"/>
    <n v="28868.6639"/>
  </r>
  <r>
    <n v="24"/>
    <x v="1"/>
    <n v="28.5"/>
    <n v="0"/>
    <s v="yes"/>
    <s v="northeast"/>
    <n v="35147.528480000001"/>
  </r>
  <r>
    <n v="25"/>
    <x v="1"/>
    <n v="35.625"/>
    <n v="0"/>
    <s v="no"/>
    <s v="northwest"/>
    <n v="2534.3937500000002"/>
  </r>
  <r>
    <n v="21"/>
    <x v="1"/>
    <n v="36.85"/>
    <n v="0"/>
    <s v="no"/>
    <s v="southeast"/>
    <n v="1534.3045"/>
  </r>
  <r>
    <n v="23"/>
    <x v="1"/>
    <n v="32.56"/>
    <n v="0"/>
    <s v="no"/>
    <s v="southeast"/>
    <n v="1824.2854"/>
  </r>
  <r>
    <n v="63"/>
    <x v="1"/>
    <n v="41.325000000000003"/>
    <n v="3"/>
    <s v="no"/>
    <s v="northwest"/>
    <n v="15555.188749999999"/>
  </r>
  <r>
    <n v="49"/>
    <x v="1"/>
    <n v="37.51"/>
    <n v="2"/>
    <s v="no"/>
    <s v="southeast"/>
    <n v="9304.7019"/>
  </r>
  <r>
    <n v="18"/>
    <x v="0"/>
    <n v="31.35"/>
    <n v="0"/>
    <s v="no"/>
    <s v="southeast"/>
    <n v="1622.1885"/>
  </r>
  <r>
    <n v="51"/>
    <x v="0"/>
    <n v="39.5"/>
    <n v="1"/>
    <s v="no"/>
    <s v="southwest"/>
    <n v="9880.0679999999993"/>
  </r>
  <r>
    <n v="48"/>
    <x v="1"/>
    <n v="34.299999999999997"/>
    <n v="3"/>
    <s v="no"/>
    <s v="southwest"/>
    <n v="9563.0290000000005"/>
  </r>
  <r>
    <n v="31"/>
    <x v="0"/>
    <n v="31.065000000000001"/>
    <n v="0"/>
    <s v="no"/>
    <s v="northeast"/>
    <n v="4347.0233500000004"/>
  </r>
  <r>
    <n v="54"/>
    <x v="0"/>
    <n v="21.47"/>
    <n v="3"/>
    <s v="no"/>
    <s v="northwest"/>
    <n v="12475.3513"/>
  </r>
  <r>
    <n v="19"/>
    <x v="1"/>
    <n v="28.7"/>
    <n v="0"/>
    <s v="no"/>
    <s v="southwest"/>
    <n v="1253.9359999999999"/>
  </r>
  <r>
    <n v="44"/>
    <x v="0"/>
    <n v="38.06"/>
    <n v="0"/>
    <s v="yes"/>
    <s v="southeast"/>
    <n v="48885.135609999998"/>
  </r>
  <r>
    <n v="53"/>
    <x v="1"/>
    <n v="31.16"/>
    <n v="1"/>
    <s v="no"/>
    <s v="northwest"/>
    <n v="10461.9794"/>
  </r>
  <r>
    <n v="19"/>
    <x v="0"/>
    <n v="32.9"/>
    <n v="0"/>
    <s v="no"/>
    <s v="southwest"/>
    <n v="1748.7739999999999"/>
  </r>
  <r>
    <n v="61"/>
    <x v="0"/>
    <n v="25.08"/>
    <n v="0"/>
    <s v="no"/>
    <s v="southeast"/>
    <n v="24513.091260000001"/>
  </r>
  <r>
    <n v="18"/>
    <x v="0"/>
    <n v="25.08"/>
    <n v="0"/>
    <s v="no"/>
    <s v="northeast"/>
    <n v="2196.4731999999999"/>
  </r>
  <r>
    <n v="61"/>
    <x v="1"/>
    <n v="43.4"/>
    <n v="0"/>
    <s v="no"/>
    <s v="southwest"/>
    <n v="12574.049000000001"/>
  </r>
  <r>
    <n v="21"/>
    <x v="1"/>
    <n v="25.7"/>
    <n v="4"/>
    <s v="yes"/>
    <s v="southwest"/>
    <n v="17942.106"/>
  </r>
  <r>
    <n v="20"/>
    <x v="1"/>
    <n v="27.93"/>
    <n v="0"/>
    <s v="no"/>
    <s v="northeast"/>
    <n v="1967.0227"/>
  </r>
  <r>
    <n v="31"/>
    <x v="0"/>
    <n v="23.6"/>
    <n v="2"/>
    <s v="no"/>
    <s v="southwest"/>
    <n v="4931.6469999999999"/>
  </r>
  <r>
    <n v="45"/>
    <x v="1"/>
    <n v="28.7"/>
    <n v="2"/>
    <s v="no"/>
    <s v="southwest"/>
    <n v="8027.9679999999998"/>
  </r>
  <r>
    <n v="44"/>
    <x v="0"/>
    <n v="23.98"/>
    <n v="2"/>
    <s v="no"/>
    <s v="southeast"/>
    <n v="8211.1002000000008"/>
  </r>
  <r>
    <n v="62"/>
    <x v="0"/>
    <n v="39.200000000000003"/>
    <n v="0"/>
    <s v="no"/>
    <s v="southwest"/>
    <n v="13470.86"/>
  </r>
  <r>
    <n v="29"/>
    <x v="1"/>
    <n v="34.4"/>
    <n v="0"/>
    <s v="yes"/>
    <s v="southwest"/>
    <n v="36197.699000000001"/>
  </r>
  <r>
    <n v="43"/>
    <x v="1"/>
    <n v="26.03"/>
    <n v="0"/>
    <s v="no"/>
    <s v="northeast"/>
    <n v="6837.3687"/>
  </r>
  <r>
    <n v="51"/>
    <x v="1"/>
    <n v="23.21"/>
    <n v="1"/>
    <s v="yes"/>
    <s v="southeast"/>
    <n v="22218.1149"/>
  </r>
  <r>
    <n v="19"/>
    <x v="1"/>
    <n v="30.25"/>
    <n v="0"/>
    <s v="yes"/>
    <s v="southeast"/>
    <n v="32548.340499999998"/>
  </r>
  <r>
    <n v="38"/>
    <x v="0"/>
    <n v="28.93"/>
    <n v="1"/>
    <s v="no"/>
    <s v="southeast"/>
    <n v="5974.3846999999996"/>
  </r>
  <r>
    <n v="37"/>
    <x v="1"/>
    <n v="30.875"/>
    <n v="3"/>
    <s v="no"/>
    <s v="northwest"/>
    <n v="6796.8632500000003"/>
  </r>
  <r>
    <n v="22"/>
    <x v="1"/>
    <n v="31.35"/>
    <n v="1"/>
    <s v="no"/>
    <s v="northwest"/>
    <n v="2643.2685000000001"/>
  </r>
  <r>
    <n v="21"/>
    <x v="1"/>
    <n v="23.75"/>
    <n v="2"/>
    <s v="no"/>
    <s v="northwest"/>
    <n v="3077.0954999999999"/>
  </r>
  <r>
    <n v="24"/>
    <x v="0"/>
    <n v="25.27"/>
    <n v="0"/>
    <s v="no"/>
    <s v="northeast"/>
    <n v="3044.2132999999999"/>
  </r>
  <r>
    <n v="57"/>
    <x v="0"/>
    <n v="28.7"/>
    <n v="0"/>
    <s v="no"/>
    <s v="southwest"/>
    <n v="11455.28"/>
  </r>
  <r>
    <n v="56"/>
    <x v="1"/>
    <n v="32.11"/>
    <n v="1"/>
    <s v="no"/>
    <s v="northeast"/>
    <n v="11763.000899999999"/>
  </r>
  <r>
    <n v="27"/>
    <x v="1"/>
    <n v="33.659999999999997"/>
    <n v="0"/>
    <s v="no"/>
    <s v="southeast"/>
    <n v="2498.4144000000001"/>
  </r>
  <r>
    <n v="51"/>
    <x v="1"/>
    <n v="22.42"/>
    <n v="0"/>
    <s v="no"/>
    <s v="northeast"/>
    <n v="9361.3268000000007"/>
  </r>
  <r>
    <n v="19"/>
    <x v="1"/>
    <n v="30.4"/>
    <n v="0"/>
    <s v="no"/>
    <s v="southwest"/>
    <n v="1256.299"/>
  </r>
  <r>
    <n v="39"/>
    <x v="1"/>
    <n v="28.3"/>
    <n v="1"/>
    <s v="yes"/>
    <s v="southwest"/>
    <n v="21082.16"/>
  </r>
  <r>
    <n v="58"/>
    <x v="1"/>
    <n v="35.700000000000003"/>
    <n v="0"/>
    <s v="no"/>
    <s v="southwest"/>
    <n v="11362.754999999999"/>
  </r>
  <r>
    <n v="20"/>
    <x v="1"/>
    <n v="35.31"/>
    <n v="1"/>
    <s v="no"/>
    <s v="southeast"/>
    <n v="27724.28875"/>
  </r>
  <r>
    <n v="45"/>
    <x v="1"/>
    <n v="30.495000000000001"/>
    <n v="2"/>
    <s v="no"/>
    <s v="northwest"/>
    <n v="8413.4630500000003"/>
  </r>
  <r>
    <n v="35"/>
    <x v="0"/>
    <n v="31"/>
    <n v="1"/>
    <s v="no"/>
    <s v="southwest"/>
    <n v="5240.7650000000003"/>
  </r>
  <r>
    <n v="31"/>
    <x v="1"/>
    <n v="30.875"/>
    <n v="0"/>
    <s v="no"/>
    <s v="northeast"/>
    <n v="3857.7592500000001"/>
  </r>
  <r>
    <n v="50"/>
    <x v="0"/>
    <n v="27.36"/>
    <n v="0"/>
    <s v="no"/>
    <s v="northeast"/>
    <n v="25656.575260000001"/>
  </r>
  <r>
    <n v="32"/>
    <x v="0"/>
    <n v="44.22"/>
    <n v="0"/>
    <s v="no"/>
    <s v="southeast"/>
    <n v="3994.1777999999999"/>
  </r>
  <r>
    <n v="51"/>
    <x v="0"/>
    <n v="33.914999999999999"/>
    <n v="0"/>
    <s v="no"/>
    <s v="northeast"/>
    <n v="9866.3048500000004"/>
  </r>
  <r>
    <n v="38"/>
    <x v="0"/>
    <n v="37.729999999999997"/>
    <n v="0"/>
    <s v="no"/>
    <s v="southeast"/>
    <n v="5397.6166999999996"/>
  </r>
  <r>
    <n v="42"/>
    <x v="1"/>
    <n v="26.07"/>
    <n v="1"/>
    <s v="yes"/>
    <s v="southeast"/>
    <n v="38245.593269999998"/>
  </r>
  <r>
    <n v="18"/>
    <x v="0"/>
    <n v="33.880000000000003"/>
    <n v="0"/>
    <s v="no"/>
    <s v="southeast"/>
    <n v="11482.63485"/>
  </r>
  <r>
    <n v="19"/>
    <x v="0"/>
    <n v="30.59"/>
    <n v="2"/>
    <s v="no"/>
    <s v="northwest"/>
    <n v="24059.680189999999"/>
  </r>
  <r>
    <n v="51"/>
    <x v="0"/>
    <n v="25.8"/>
    <n v="1"/>
    <s v="no"/>
    <s v="southwest"/>
    <n v="9861.0249999999996"/>
  </r>
  <r>
    <n v="46"/>
    <x v="1"/>
    <n v="39.424999999999997"/>
    <n v="1"/>
    <s v="no"/>
    <s v="northeast"/>
    <n v="8342.9087500000005"/>
  </r>
  <r>
    <n v="18"/>
    <x v="1"/>
    <n v="25.46"/>
    <n v="0"/>
    <s v="no"/>
    <s v="northeast"/>
    <n v="1708.0014000000001"/>
  </r>
  <r>
    <n v="57"/>
    <x v="1"/>
    <n v="42.13"/>
    <n v="1"/>
    <s v="yes"/>
    <s v="southeast"/>
    <n v="48675.517699999997"/>
  </r>
  <r>
    <n v="62"/>
    <x v="0"/>
    <n v="31.73"/>
    <n v="0"/>
    <s v="no"/>
    <s v="northeast"/>
    <n v="14043.476699999999"/>
  </r>
  <r>
    <n v="59"/>
    <x v="1"/>
    <n v="29.7"/>
    <n v="2"/>
    <s v="no"/>
    <s v="southeast"/>
    <n v="12925.886"/>
  </r>
  <r>
    <n v="37"/>
    <x v="1"/>
    <n v="36.19"/>
    <n v="0"/>
    <s v="no"/>
    <s v="southeast"/>
    <n v="19214.705529999999"/>
  </r>
  <r>
    <n v="64"/>
    <x v="1"/>
    <n v="40.479999999999997"/>
    <n v="0"/>
    <s v="no"/>
    <s v="southeast"/>
    <n v="13831.1152"/>
  </r>
  <r>
    <n v="38"/>
    <x v="1"/>
    <n v="28.024999999999999"/>
    <n v="1"/>
    <s v="no"/>
    <s v="northeast"/>
    <n v="6067.1267500000004"/>
  </r>
  <r>
    <n v="33"/>
    <x v="0"/>
    <n v="38.9"/>
    <n v="3"/>
    <s v="no"/>
    <s v="southwest"/>
    <n v="5972.3779999999997"/>
  </r>
  <r>
    <n v="46"/>
    <x v="0"/>
    <n v="30.2"/>
    <n v="2"/>
    <s v="no"/>
    <s v="southwest"/>
    <n v="8825.0859999999993"/>
  </r>
  <r>
    <n v="46"/>
    <x v="0"/>
    <n v="28.05"/>
    <n v="1"/>
    <s v="no"/>
    <s v="southeast"/>
    <n v="8233.0974999999999"/>
  </r>
  <r>
    <n v="53"/>
    <x v="1"/>
    <n v="31.35"/>
    <n v="0"/>
    <s v="no"/>
    <s v="southeast"/>
    <n v="27346.04207"/>
  </r>
  <r>
    <n v="34"/>
    <x v="0"/>
    <n v="38"/>
    <n v="3"/>
    <s v="no"/>
    <s v="southwest"/>
    <n v="6196.4480000000003"/>
  </r>
  <r>
    <n v="20"/>
    <x v="0"/>
    <n v="31.79"/>
    <n v="2"/>
    <s v="no"/>
    <s v="southeast"/>
    <n v="3056.3881000000001"/>
  </r>
  <r>
    <n v="63"/>
    <x v="0"/>
    <n v="36.299999999999997"/>
    <n v="0"/>
    <s v="no"/>
    <s v="southeast"/>
    <n v="13887.204"/>
  </r>
  <r>
    <n v="54"/>
    <x v="0"/>
    <n v="47.41"/>
    <n v="0"/>
    <s v="yes"/>
    <s v="southeast"/>
    <n v="63770.428010000003"/>
  </r>
  <r>
    <n v="54"/>
    <x v="1"/>
    <n v="30.21"/>
    <n v="0"/>
    <s v="no"/>
    <s v="northwest"/>
    <n v="10231.499900000001"/>
  </r>
  <r>
    <n v="49"/>
    <x v="1"/>
    <n v="25.84"/>
    <n v="2"/>
    <s v="yes"/>
    <s v="northwest"/>
    <n v="23807.240600000001"/>
  </r>
  <r>
    <n v="28"/>
    <x v="1"/>
    <n v="35.435000000000002"/>
    <n v="0"/>
    <s v="no"/>
    <s v="northeast"/>
    <n v="3268.84665"/>
  </r>
  <r>
    <n v="54"/>
    <x v="0"/>
    <n v="46.7"/>
    <n v="2"/>
    <s v="no"/>
    <s v="southwest"/>
    <n v="11538.421"/>
  </r>
  <r>
    <n v="25"/>
    <x v="0"/>
    <n v="28.594999999999999"/>
    <n v="0"/>
    <s v="no"/>
    <s v="northeast"/>
    <n v="3213.6220499999999"/>
  </r>
  <r>
    <n v="43"/>
    <x v="0"/>
    <n v="46.2"/>
    <n v="0"/>
    <s v="yes"/>
    <s v="southeast"/>
    <n v="45863.205000000002"/>
  </r>
  <r>
    <n v="63"/>
    <x v="1"/>
    <n v="30.8"/>
    <n v="0"/>
    <s v="no"/>
    <s v="southwest"/>
    <n v="13390.558999999999"/>
  </r>
  <r>
    <n v="32"/>
    <x v="0"/>
    <n v="28.93"/>
    <n v="0"/>
    <s v="no"/>
    <s v="southeast"/>
    <n v="3972.9247"/>
  </r>
  <r>
    <n v="62"/>
    <x v="1"/>
    <n v="21.4"/>
    <n v="0"/>
    <s v="no"/>
    <s v="southwest"/>
    <n v="12957.118"/>
  </r>
  <r>
    <n v="52"/>
    <x v="0"/>
    <n v="31.73"/>
    <n v="2"/>
    <s v="no"/>
    <s v="northwest"/>
    <n v="11187.6567"/>
  </r>
  <r>
    <n v="25"/>
    <x v="0"/>
    <n v="41.325000000000003"/>
    <n v="0"/>
    <s v="no"/>
    <s v="northeast"/>
    <n v="17878.900679999999"/>
  </r>
  <r>
    <n v="28"/>
    <x v="1"/>
    <n v="23.8"/>
    <n v="2"/>
    <s v="no"/>
    <s v="southwest"/>
    <n v="3847.674"/>
  </r>
  <r>
    <n v="46"/>
    <x v="1"/>
    <n v="33.44"/>
    <n v="1"/>
    <s v="no"/>
    <s v="northeast"/>
    <n v="8334.5895999999993"/>
  </r>
  <r>
    <n v="34"/>
    <x v="1"/>
    <n v="34.21"/>
    <n v="0"/>
    <s v="no"/>
    <s v="southeast"/>
    <n v="3935.1799000000001"/>
  </r>
  <r>
    <n v="35"/>
    <x v="0"/>
    <n v="34.104999999999997"/>
    <n v="3"/>
    <s v="yes"/>
    <s v="northwest"/>
    <n v="39983.425949999997"/>
  </r>
  <r>
    <n v="19"/>
    <x v="1"/>
    <n v="35.53"/>
    <n v="0"/>
    <s v="no"/>
    <s v="northwest"/>
    <n v="1646.4296999999999"/>
  </r>
  <r>
    <n v="46"/>
    <x v="0"/>
    <n v="19.95"/>
    <n v="2"/>
    <s v="no"/>
    <s v="northwest"/>
    <n v="9193.8384999999998"/>
  </r>
  <r>
    <n v="54"/>
    <x v="0"/>
    <n v="32.68"/>
    <n v="0"/>
    <s v="no"/>
    <s v="northeast"/>
    <n v="10923.933199999999"/>
  </r>
  <r>
    <n v="27"/>
    <x v="1"/>
    <n v="30.5"/>
    <n v="0"/>
    <s v="no"/>
    <s v="southwest"/>
    <n v="2494.0219999999999"/>
  </r>
  <r>
    <n v="50"/>
    <x v="1"/>
    <n v="44.77"/>
    <n v="1"/>
    <s v="no"/>
    <s v="southeast"/>
    <n v="9058.7302999999993"/>
  </r>
  <r>
    <n v="18"/>
    <x v="0"/>
    <n v="32.119999999999997"/>
    <n v="2"/>
    <s v="no"/>
    <s v="southeast"/>
    <n v="2801.2588000000001"/>
  </r>
  <r>
    <n v="19"/>
    <x v="0"/>
    <n v="30.495000000000001"/>
    <n v="0"/>
    <s v="no"/>
    <s v="northwest"/>
    <n v="2128.4310500000001"/>
  </r>
  <r>
    <n v="38"/>
    <x v="0"/>
    <n v="40.564999999999998"/>
    <n v="1"/>
    <s v="no"/>
    <s v="northwest"/>
    <n v="6373.55735"/>
  </r>
  <r>
    <n v="41"/>
    <x v="1"/>
    <n v="30.59"/>
    <n v="2"/>
    <s v="no"/>
    <s v="northwest"/>
    <n v="7256.7231000000002"/>
  </r>
  <r>
    <n v="49"/>
    <x v="0"/>
    <n v="31.9"/>
    <n v="5"/>
    <s v="no"/>
    <s v="southwest"/>
    <n v="11552.904"/>
  </r>
  <r>
    <n v="48"/>
    <x v="1"/>
    <n v="40.564999999999998"/>
    <n v="2"/>
    <s v="yes"/>
    <s v="northwest"/>
    <n v="45702.022349999999"/>
  </r>
  <r>
    <n v="31"/>
    <x v="0"/>
    <n v="29.1"/>
    <n v="0"/>
    <s v="no"/>
    <s v="southwest"/>
    <n v="3761.2919999999999"/>
  </r>
  <r>
    <n v="18"/>
    <x v="0"/>
    <n v="37.29"/>
    <n v="1"/>
    <s v="no"/>
    <s v="southeast"/>
    <n v="2219.4450999999999"/>
  </r>
  <r>
    <n v="30"/>
    <x v="0"/>
    <n v="43.12"/>
    <n v="2"/>
    <s v="no"/>
    <s v="southeast"/>
    <n v="4753.6368000000002"/>
  </r>
  <r>
    <n v="62"/>
    <x v="0"/>
    <n v="36.86"/>
    <n v="1"/>
    <s v="no"/>
    <s v="northeast"/>
    <n v="31620.001059999999"/>
  </r>
  <r>
    <n v="57"/>
    <x v="0"/>
    <n v="34.295000000000002"/>
    <n v="2"/>
    <s v="no"/>
    <s v="northeast"/>
    <n v="13224.057049999999"/>
  </r>
  <r>
    <n v="58"/>
    <x v="0"/>
    <n v="27.17"/>
    <n v="0"/>
    <s v="no"/>
    <s v="northwest"/>
    <n v="12222.898300000001"/>
  </r>
  <r>
    <n v="22"/>
    <x v="1"/>
    <n v="26.84"/>
    <n v="0"/>
    <s v="no"/>
    <s v="southeast"/>
    <n v="1664.9996000000001"/>
  </r>
  <r>
    <n v="31"/>
    <x v="0"/>
    <n v="38.094999999999999"/>
    <n v="1"/>
    <s v="yes"/>
    <s v="northeast"/>
    <n v="58571.074480000003"/>
  </r>
  <r>
    <n v="52"/>
    <x v="1"/>
    <n v="30.2"/>
    <n v="1"/>
    <s v="no"/>
    <s v="southwest"/>
    <n v="9724.5300000000007"/>
  </r>
  <r>
    <n v="25"/>
    <x v="0"/>
    <n v="23.465"/>
    <n v="0"/>
    <s v="no"/>
    <s v="northeast"/>
    <n v="3206.4913499999998"/>
  </r>
  <r>
    <n v="59"/>
    <x v="1"/>
    <n v="25.46"/>
    <n v="1"/>
    <s v="no"/>
    <s v="northeast"/>
    <n v="12913.992399999999"/>
  </r>
  <r>
    <n v="19"/>
    <x v="1"/>
    <n v="30.59"/>
    <n v="0"/>
    <s v="no"/>
    <s v="northwest"/>
    <n v="1639.5631000000001"/>
  </r>
  <r>
    <n v="39"/>
    <x v="1"/>
    <n v="45.43"/>
    <n v="2"/>
    <s v="no"/>
    <s v="southeast"/>
    <n v="6356.2707"/>
  </r>
  <r>
    <n v="32"/>
    <x v="0"/>
    <n v="23.65"/>
    <n v="1"/>
    <s v="no"/>
    <s v="southeast"/>
    <n v="17626.239509999999"/>
  </r>
  <r>
    <n v="19"/>
    <x v="1"/>
    <n v="20.7"/>
    <n v="0"/>
    <s v="no"/>
    <s v="southwest"/>
    <n v="1242.816"/>
  </r>
  <r>
    <n v="33"/>
    <x v="0"/>
    <n v="28.27"/>
    <n v="1"/>
    <s v="no"/>
    <s v="southeast"/>
    <n v="4779.6022999999996"/>
  </r>
  <r>
    <n v="21"/>
    <x v="1"/>
    <n v="20.234999999999999"/>
    <n v="3"/>
    <s v="no"/>
    <s v="northeast"/>
    <n v="3861.2096499999998"/>
  </r>
  <r>
    <n v="34"/>
    <x v="0"/>
    <n v="30.21"/>
    <n v="1"/>
    <s v="yes"/>
    <s v="northwest"/>
    <n v="43943.876100000001"/>
  </r>
  <r>
    <n v="61"/>
    <x v="0"/>
    <n v="35.909999999999997"/>
    <n v="0"/>
    <s v="no"/>
    <s v="northeast"/>
    <n v="13635.6379"/>
  </r>
  <r>
    <n v="38"/>
    <x v="0"/>
    <n v="30.69"/>
    <n v="1"/>
    <s v="no"/>
    <s v="southeast"/>
    <n v="5976.8311000000003"/>
  </r>
  <r>
    <n v="58"/>
    <x v="0"/>
    <n v="29"/>
    <n v="0"/>
    <s v="no"/>
    <s v="southwest"/>
    <n v="11842.441999999999"/>
  </r>
  <r>
    <n v="47"/>
    <x v="1"/>
    <n v="19.57"/>
    <n v="1"/>
    <s v="no"/>
    <s v="northwest"/>
    <n v="8428.0692999999992"/>
  </r>
  <r>
    <n v="20"/>
    <x v="1"/>
    <n v="31.13"/>
    <n v="2"/>
    <s v="no"/>
    <s v="southeast"/>
    <n v="2566.4706999999999"/>
  </r>
  <r>
    <n v="21"/>
    <x v="0"/>
    <n v="21.85"/>
    <n v="1"/>
    <s v="yes"/>
    <s v="northeast"/>
    <n v="15359.104499999999"/>
  </r>
  <r>
    <n v="41"/>
    <x v="1"/>
    <n v="40.26"/>
    <n v="0"/>
    <s v="no"/>
    <s v="southeast"/>
    <n v="5709.1643999999997"/>
  </r>
  <r>
    <n v="46"/>
    <x v="0"/>
    <n v="33.725000000000001"/>
    <n v="1"/>
    <s v="no"/>
    <s v="northeast"/>
    <n v="8823.9857499999998"/>
  </r>
  <r>
    <n v="42"/>
    <x v="0"/>
    <n v="29.48"/>
    <n v="2"/>
    <s v="no"/>
    <s v="southeast"/>
    <n v="7640.3091999999997"/>
  </r>
  <r>
    <n v="34"/>
    <x v="0"/>
    <n v="33.25"/>
    <n v="1"/>
    <s v="no"/>
    <s v="northeast"/>
    <n v="5594.8455000000004"/>
  </r>
  <r>
    <n v="43"/>
    <x v="1"/>
    <n v="32.6"/>
    <n v="2"/>
    <s v="no"/>
    <s v="southwest"/>
    <n v="7441.5010000000002"/>
  </r>
  <r>
    <n v="52"/>
    <x v="0"/>
    <n v="37.524999999999999"/>
    <n v="2"/>
    <s v="no"/>
    <s v="northwest"/>
    <n v="33471.971890000001"/>
  </r>
  <r>
    <n v="18"/>
    <x v="0"/>
    <n v="39.159999999999997"/>
    <n v="0"/>
    <s v="no"/>
    <s v="southeast"/>
    <n v="1633.0444"/>
  </r>
  <r>
    <n v="51"/>
    <x v="1"/>
    <n v="31.635000000000002"/>
    <n v="0"/>
    <s v="no"/>
    <s v="northwest"/>
    <n v="9174.1356500000002"/>
  </r>
  <r>
    <n v="56"/>
    <x v="0"/>
    <n v="25.3"/>
    <n v="0"/>
    <s v="no"/>
    <s v="southwest"/>
    <n v="11070.535"/>
  </r>
  <r>
    <n v="64"/>
    <x v="0"/>
    <n v="39.049999999999997"/>
    <n v="3"/>
    <s v="no"/>
    <s v="southeast"/>
    <n v="16085.127500000001"/>
  </r>
  <r>
    <n v="19"/>
    <x v="0"/>
    <n v="28.31"/>
    <n v="0"/>
    <s v="yes"/>
    <s v="northwest"/>
    <n v="17468.983899999999"/>
  </r>
  <r>
    <n v="51"/>
    <x v="0"/>
    <n v="34.1"/>
    <n v="0"/>
    <s v="no"/>
    <s v="southeast"/>
    <n v="9283.5619999999999"/>
  </r>
  <r>
    <n v="27"/>
    <x v="0"/>
    <n v="25.175000000000001"/>
    <n v="0"/>
    <s v="no"/>
    <s v="northeast"/>
    <n v="3558.6202499999999"/>
  </r>
  <r>
    <n v="59"/>
    <x v="0"/>
    <n v="23.655000000000001"/>
    <n v="0"/>
    <s v="yes"/>
    <s v="northwest"/>
    <n v="25678.778450000002"/>
  </r>
  <r>
    <n v="28"/>
    <x v="1"/>
    <n v="26.98"/>
    <n v="2"/>
    <s v="no"/>
    <s v="northeast"/>
    <n v="4435.0941999999995"/>
  </r>
  <r>
    <n v="30"/>
    <x v="1"/>
    <n v="37.799999999999997"/>
    <n v="2"/>
    <s v="yes"/>
    <s v="southwest"/>
    <n v="39241.442000000003"/>
  </r>
  <r>
    <n v="47"/>
    <x v="0"/>
    <n v="29.37"/>
    <n v="1"/>
    <s v="no"/>
    <s v="southeast"/>
    <n v="8547.6913000000004"/>
  </r>
  <r>
    <n v="38"/>
    <x v="0"/>
    <n v="34.799999999999997"/>
    <n v="2"/>
    <s v="no"/>
    <s v="southwest"/>
    <n v="6571.5439999999999"/>
  </r>
  <r>
    <n v="18"/>
    <x v="0"/>
    <n v="33.155000000000001"/>
    <n v="0"/>
    <s v="no"/>
    <s v="northeast"/>
    <n v="2207.6974500000001"/>
  </r>
  <r>
    <n v="34"/>
    <x v="0"/>
    <n v="19"/>
    <n v="3"/>
    <s v="no"/>
    <s v="northeast"/>
    <n v="6753.0379999999996"/>
  </r>
  <r>
    <n v="20"/>
    <x v="0"/>
    <n v="33"/>
    <n v="0"/>
    <s v="no"/>
    <s v="southeast"/>
    <n v="1880.07"/>
  </r>
  <r>
    <n v="47"/>
    <x v="0"/>
    <n v="36.630000000000003"/>
    <n v="1"/>
    <s v="yes"/>
    <s v="southeast"/>
    <n v="42969.852700000003"/>
  </r>
  <r>
    <n v="56"/>
    <x v="0"/>
    <n v="28.594999999999999"/>
    <n v="0"/>
    <s v="no"/>
    <s v="northeast"/>
    <n v="11658.11505"/>
  </r>
  <r>
    <n v="49"/>
    <x v="1"/>
    <n v="25.6"/>
    <n v="2"/>
    <s v="yes"/>
    <s v="southwest"/>
    <n v="23306.546999999999"/>
  </r>
  <r>
    <n v="19"/>
    <x v="0"/>
    <n v="33.11"/>
    <n v="0"/>
    <s v="yes"/>
    <s v="southeast"/>
    <n v="34439.855900000002"/>
  </r>
  <r>
    <n v="55"/>
    <x v="0"/>
    <n v="37.1"/>
    <n v="0"/>
    <s v="no"/>
    <s v="southwest"/>
    <n v="10713.644"/>
  </r>
  <r>
    <n v="30"/>
    <x v="1"/>
    <n v="31.4"/>
    <n v="1"/>
    <s v="no"/>
    <s v="southwest"/>
    <n v="3659.346"/>
  </r>
  <r>
    <n v="37"/>
    <x v="1"/>
    <n v="34.1"/>
    <n v="4"/>
    <s v="yes"/>
    <s v="southwest"/>
    <n v="40182.245999999999"/>
  </r>
  <r>
    <n v="49"/>
    <x v="0"/>
    <n v="21.3"/>
    <n v="1"/>
    <s v="no"/>
    <s v="southwest"/>
    <n v="9182.17"/>
  </r>
  <r>
    <n v="18"/>
    <x v="1"/>
    <n v="33.534999999999997"/>
    <n v="0"/>
    <s v="yes"/>
    <s v="northeast"/>
    <n v="34617.840649999998"/>
  </r>
  <r>
    <n v="59"/>
    <x v="1"/>
    <n v="28.785"/>
    <n v="0"/>
    <s v="no"/>
    <s v="northwest"/>
    <n v="12129.614149999999"/>
  </r>
  <r>
    <n v="29"/>
    <x v="0"/>
    <n v="26.03"/>
    <n v="0"/>
    <s v="no"/>
    <s v="northwest"/>
    <n v="3736.4647"/>
  </r>
  <r>
    <n v="36"/>
    <x v="1"/>
    <n v="28.88"/>
    <n v="3"/>
    <s v="no"/>
    <s v="northeast"/>
    <n v="6748.5911999999998"/>
  </r>
  <r>
    <n v="33"/>
    <x v="1"/>
    <n v="42.46"/>
    <n v="1"/>
    <s v="no"/>
    <s v="southeast"/>
    <n v="11326.71487"/>
  </r>
  <r>
    <n v="58"/>
    <x v="1"/>
    <n v="38"/>
    <n v="0"/>
    <s v="no"/>
    <s v="southwest"/>
    <n v="11365.951999999999"/>
  </r>
  <r>
    <n v="44"/>
    <x v="0"/>
    <n v="38.950000000000003"/>
    <n v="0"/>
    <s v="yes"/>
    <s v="northwest"/>
    <n v="42983.458500000001"/>
  </r>
  <r>
    <n v="53"/>
    <x v="1"/>
    <n v="36.1"/>
    <n v="1"/>
    <s v="no"/>
    <s v="southwest"/>
    <n v="10085.846"/>
  </r>
  <r>
    <n v="24"/>
    <x v="1"/>
    <n v="29.3"/>
    <n v="0"/>
    <s v="no"/>
    <s v="southwest"/>
    <n v="1977.8150000000001"/>
  </r>
  <r>
    <n v="29"/>
    <x v="0"/>
    <n v="35.53"/>
    <n v="0"/>
    <s v="no"/>
    <s v="southeast"/>
    <n v="3366.6696999999999"/>
  </r>
  <r>
    <n v="40"/>
    <x v="1"/>
    <n v="22.704999999999998"/>
    <n v="2"/>
    <s v="no"/>
    <s v="northeast"/>
    <n v="7173.35995"/>
  </r>
  <r>
    <n v="51"/>
    <x v="1"/>
    <n v="39.700000000000003"/>
    <n v="1"/>
    <s v="no"/>
    <s v="southwest"/>
    <n v="9391.3459999999995"/>
  </r>
  <r>
    <n v="64"/>
    <x v="1"/>
    <n v="38.19"/>
    <n v="0"/>
    <s v="no"/>
    <s v="northeast"/>
    <n v="14410.9321"/>
  </r>
  <r>
    <n v="19"/>
    <x v="0"/>
    <n v="24.51"/>
    <n v="1"/>
    <s v="no"/>
    <s v="northwest"/>
    <n v="2709.1118999999999"/>
  </r>
  <r>
    <n v="35"/>
    <x v="0"/>
    <n v="38.094999999999999"/>
    <n v="2"/>
    <s v="no"/>
    <s v="northeast"/>
    <n v="24915.046259999999"/>
  </r>
  <r>
    <n v="39"/>
    <x v="1"/>
    <n v="26.41"/>
    <n v="0"/>
    <s v="yes"/>
    <s v="northeast"/>
    <n v="20149.322899999999"/>
  </r>
  <r>
    <n v="56"/>
    <x v="1"/>
    <n v="33.659999999999997"/>
    <n v="4"/>
    <s v="no"/>
    <s v="southeast"/>
    <n v="12949.1554"/>
  </r>
  <r>
    <n v="33"/>
    <x v="1"/>
    <n v="42.4"/>
    <n v="5"/>
    <s v="no"/>
    <s v="southwest"/>
    <n v="6666.2430000000004"/>
  </r>
  <r>
    <n v="42"/>
    <x v="1"/>
    <n v="28.31"/>
    <n v="3"/>
    <s v="yes"/>
    <s v="northwest"/>
    <n v="32787.458590000002"/>
  </r>
  <r>
    <n v="61"/>
    <x v="1"/>
    <n v="33.914999999999999"/>
    <n v="0"/>
    <s v="no"/>
    <s v="northeast"/>
    <n v="13143.86485"/>
  </r>
  <r>
    <n v="23"/>
    <x v="0"/>
    <n v="34.96"/>
    <n v="3"/>
    <s v="no"/>
    <s v="northwest"/>
    <n v="4466.6214"/>
  </r>
  <r>
    <n v="43"/>
    <x v="1"/>
    <n v="35.31"/>
    <n v="2"/>
    <s v="no"/>
    <s v="southeast"/>
    <n v="18806.145469999999"/>
  </r>
  <r>
    <n v="48"/>
    <x v="1"/>
    <n v="30.78"/>
    <n v="3"/>
    <s v="no"/>
    <s v="northeast"/>
    <n v="10141.136200000001"/>
  </r>
  <r>
    <n v="39"/>
    <x v="1"/>
    <n v="26.22"/>
    <n v="1"/>
    <s v="no"/>
    <s v="northwest"/>
    <n v="6123.5688"/>
  </r>
  <r>
    <n v="40"/>
    <x v="0"/>
    <n v="23.37"/>
    <n v="3"/>
    <s v="no"/>
    <s v="northeast"/>
    <n v="8252.2842999999993"/>
  </r>
  <r>
    <n v="18"/>
    <x v="1"/>
    <n v="28.5"/>
    <n v="0"/>
    <s v="no"/>
    <s v="northeast"/>
    <n v="1712.2270000000001"/>
  </r>
  <r>
    <n v="58"/>
    <x v="0"/>
    <n v="32.965000000000003"/>
    <n v="0"/>
    <s v="no"/>
    <s v="northeast"/>
    <n v="12430.95335"/>
  </r>
  <r>
    <n v="49"/>
    <x v="0"/>
    <n v="42.68"/>
    <n v="2"/>
    <s v="no"/>
    <s v="southeast"/>
    <n v="9800.8881999999994"/>
  </r>
  <r>
    <n v="53"/>
    <x v="0"/>
    <n v="39.6"/>
    <n v="1"/>
    <s v="no"/>
    <s v="southeast"/>
    <n v="10579.710999999999"/>
  </r>
  <r>
    <n v="48"/>
    <x v="0"/>
    <n v="31.13"/>
    <n v="0"/>
    <s v="no"/>
    <s v="southeast"/>
    <n v="8280.6226999999999"/>
  </r>
  <r>
    <n v="45"/>
    <x v="0"/>
    <n v="36.299999999999997"/>
    <n v="2"/>
    <s v="no"/>
    <s v="southeast"/>
    <n v="8527.5319999999992"/>
  </r>
  <r>
    <n v="59"/>
    <x v="0"/>
    <n v="35.200000000000003"/>
    <n v="0"/>
    <s v="no"/>
    <s v="southeast"/>
    <n v="12244.531000000001"/>
  </r>
  <r>
    <n v="52"/>
    <x v="0"/>
    <n v="25.3"/>
    <n v="2"/>
    <s v="yes"/>
    <s v="southeast"/>
    <n v="24667.419000000002"/>
  </r>
  <r>
    <n v="26"/>
    <x v="0"/>
    <n v="42.4"/>
    <n v="1"/>
    <s v="no"/>
    <s v="southwest"/>
    <n v="3410.3240000000001"/>
  </r>
  <r>
    <n v="27"/>
    <x v="1"/>
    <n v="33.155000000000001"/>
    <n v="2"/>
    <s v="no"/>
    <s v="northwest"/>
    <n v="4058.71245"/>
  </r>
  <r>
    <n v="48"/>
    <x v="0"/>
    <n v="35.909999999999997"/>
    <n v="1"/>
    <s v="no"/>
    <s v="northeast"/>
    <n v="26392.260289999998"/>
  </r>
  <r>
    <n v="57"/>
    <x v="0"/>
    <n v="28.785"/>
    <n v="4"/>
    <s v="no"/>
    <s v="northeast"/>
    <n v="14394.398150000001"/>
  </r>
  <r>
    <n v="37"/>
    <x v="1"/>
    <n v="46.53"/>
    <n v="3"/>
    <s v="no"/>
    <s v="southeast"/>
    <n v="6435.6237000000001"/>
  </r>
  <r>
    <n v="57"/>
    <x v="0"/>
    <n v="23.98"/>
    <n v="1"/>
    <s v="no"/>
    <s v="southeast"/>
    <n v="22192.437109999999"/>
  </r>
  <r>
    <n v="32"/>
    <x v="0"/>
    <n v="31.54"/>
    <n v="1"/>
    <s v="no"/>
    <s v="northeast"/>
    <n v="5148.5526"/>
  </r>
  <r>
    <n v="18"/>
    <x v="1"/>
    <n v="33.659999999999997"/>
    <n v="0"/>
    <s v="no"/>
    <s v="southeast"/>
    <n v="1136.3994"/>
  </r>
  <r>
    <n v="64"/>
    <x v="0"/>
    <n v="22.99"/>
    <n v="0"/>
    <s v="yes"/>
    <s v="southeast"/>
    <n v="27037.914100000002"/>
  </r>
  <r>
    <n v="43"/>
    <x v="1"/>
    <n v="38.06"/>
    <n v="2"/>
    <s v="yes"/>
    <s v="southeast"/>
    <n v="42560.430399999997"/>
  </r>
  <r>
    <n v="49"/>
    <x v="1"/>
    <n v="28.7"/>
    <n v="1"/>
    <s v="no"/>
    <s v="southwest"/>
    <n v="8703.4560000000001"/>
  </r>
  <r>
    <n v="40"/>
    <x v="0"/>
    <n v="32.774999999999999"/>
    <n v="2"/>
    <s v="yes"/>
    <s v="northwest"/>
    <n v="40003.332249999999"/>
  </r>
  <r>
    <n v="62"/>
    <x v="1"/>
    <n v="32.015000000000001"/>
    <n v="0"/>
    <s v="yes"/>
    <s v="northeast"/>
    <n v="45710.207849999999"/>
  </r>
  <r>
    <n v="40"/>
    <x v="0"/>
    <n v="29.81"/>
    <n v="1"/>
    <s v="no"/>
    <s v="southeast"/>
    <n v="6500.2358999999997"/>
  </r>
  <r>
    <n v="30"/>
    <x v="1"/>
    <n v="31.57"/>
    <n v="3"/>
    <s v="no"/>
    <s v="southeast"/>
    <n v="4837.5823"/>
  </r>
  <r>
    <n v="29"/>
    <x v="0"/>
    <n v="31.16"/>
    <n v="0"/>
    <s v="no"/>
    <s v="northeast"/>
    <n v="3943.5954000000002"/>
  </r>
  <r>
    <n v="36"/>
    <x v="1"/>
    <n v="29.7"/>
    <n v="0"/>
    <s v="no"/>
    <s v="southeast"/>
    <n v="4399.7309999999998"/>
  </r>
  <r>
    <n v="41"/>
    <x v="0"/>
    <n v="31.02"/>
    <n v="0"/>
    <s v="no"/>
    <s v="southeast"/>
    <n v="6185.3208000000004"/>
  </r>
  <r>
    <n v="44"/>
    <x v="0"/>
    <n v="43.89"/>
    <n v="2"/>
    <s v="yes"/>
    <s v="southeast"/>
    <n v="46200.985099999998"/>
  </r>
  <r>
    <n v="45"/>
    <x v="1"/>
    <n v="21.375"/>
    <n v="0"/>
    <s v="no"/>
    <s v="northwest"/>
    <n v="7222.7862500000001"/>
  </r>
  <r>
    <n v="55"/>
    <x v="0"/>
    <n v="40.81"/>
    <n v="3"/>
    <s v="no"/>
    <s v="southeast"/>
    <n v="12485.8009"/>
  </r>
  <r>
    <n v="60"/>
    <x v="1"/>
    <n v="31.35"/>
    <n v="3"/>
    <s v="yes"/>
    <s v="northwest"/>
    <n v="46130.5265"/>
  </r>
  <r>
    <n v="56"/>
    <x v="1"/>
    <n v="36.1"/>
    <n v="3"/>
    <s v="no"/>
    <s v="southwest"/>
    <n v="12363.547"/>
  </r>
  <r>
    <n v="49"/>
    <x v="0"/>
    <n v="23.18"/>
    <n v="2"/>
    <s v="no"/>
    <s v="northwest"/>
    <n v="10156.7832"/>
  </r>
  <r>
    <n v="21"/>
    <x v="0"/>
    <n v="17.399999999999999"/>
    <n v="1"/>
    <s v="no"/>
    <s v="southwest"/>
    <n v="2585.2689999999998"/>
  </r>
  <r>
    <n v="19"/>
    <x v="1"/>
    <n v="20.3"/>
    <n v="0"/>
    <s v="no"/>
    <s v="southwest"/>
    <n v="1242.26"/>
  </r>
  <r>
    <n v="39"/>
    <x v="1"/>
    <n v="35.299999999999997"/>
    <n v="2"/>
    <s v="yes"/>
    <s v="southwest"/>
    <n v="40103.89"/>
  </r>
  <r>
    <n v="53"/>
    <x v="1"/>
    <n v="24.32"/>
    <n v="0"/>
    <s v="no"/>
    <s v="northwest"/>
    <n v="9863.4717999999993"/>
  </r>
  <r>
    <n v="33"/>
    <x v="0"/>
    <n v="18.5"/>
    <n v="1"/>
    <s v="no"/>
    <s v="southwest"/>
    <n v="4766.0219999999999"/>
  </r>
  <r>
    <n v="53"/>
    <x v="1"/>
    <n v="26.41"/>
    <n v="2"/>
    <s v="no"/>
    <s v="northeast"/>
    <n v="11244.376899999999"/>
  </r>
  <r>
    <n v="42"/>
    <x v="1"/>
    <n v="26.125"/>
    <n v="2"/>
    <s v="no"/>
    <s v="northeast"/>
    <n v="7729.6457499999997"/>
  </r>
  <r>
    <n v="40"/>
    <x v="1"/>
    <n v="41.69"/>
    <n v="0"/>
    <s v="no"/>
    <s v="southeast"/>
    <n v="5438.7491"/>
  </r>
  <r>
    <n v="47"/>
    <x v="0"/>
    <n v="24.1"/>
    <n v="1"/>
    <s v="no"/>
    <s v="southwest"/>
    <n v="26236.579969999999"/>
  </r>
  <r>
    <n v="27"/>
    <x v="1"/>
    <n v="31.13"/>
    <n v="1"/>
    <s v="yes"/>
    <s v="southeast"/>
    <n v="34806.467700000001"/>
  </r>
  <r>
    <n v="21"/>
    <x v="1"/>
    <n v="27.36"/>
    <n v="0"/>
    <s v="no"/>
    <s v="northeast"/>
    <n v="2104.1134000000002"/>
  </r>
  <r>
    <n v="47"/>
    <x v="1"/>
    <n v="36.200000000000003"/>
    <n v="1"/>
    <s v="no"/>
    <s v="southwest"/>
    <n v="8068.1850000000004"/>
  </r>
  <r>
    <n v="20"/>
    <x v="1"/>
    <n v="32.395000000000003"/>
    <n v="1"/>
    <s v="no"/>
    <s v="northwest"/>
    <n v="2362.2290499999999"/>
  </r>
  <r>
    <n v="24"/>
    <x v="1"/>
    <n v="23.655000000000001"/>
    <n v="0"/>
    <s v="no"/>
    <s v="northwest"/>
    <n v="2352.9684499999998"/>
  </r>
  <r>
    <n v="27"/>
    <x v="0"/>
    <n v="34.799999999999997"/>
    <n v="1"/>
    <s v="no"/>
    <s v="southwest"/>
    <n v="3577.9989999999998"/>
  </r>
  <r>
    <n v="26"/>
    <x v="0"/>
    <n v="40.185000000000002"/>
    <n v="0"/>
    <s v="no"/>
    <s v="northwest"/>
    <n v="3201.2451500000002"/>
  </r>
  <r>
    <n v="53"/>
    <x v="0"/>
    <n v="32.299999999999997"/>
    <n v="2"/>
    <s v="no"/>
    <s v="northeast"/>
    <n v="29186.482360000002"/>
  </r>
  <r>
    <n v="41"/>
    <x v="1"/>
    <n v="35.75"/>
    <n v="1"/>
    <s v="yes"/>
    <s v="southeast"/>
    <n v="40273.645499999999"/>
  </r>
  <r>
    <n v="56"/>
    <x v="1"/>
    <n v="33.725000000000001"/>
    <n v="0"/>
    <s v="no"/>
    <s v="northwest"/>
    <n v="10976.24575"/>
  </r>
  <r>
    <n v="23"/>
    <x v="0"/>
    <n v="39.270000000000003"/>
    <n v="2"/>
    <s v="no"/>
    <s v="southeast"/>
    <n v="3500.6122999999998"/>
  </r>
  <r>
    <n v="21"/>
    <x v="0"/>
    <n v="34.869999999999997"/>
    <n v="0"/>
    <s v="no"/>
    <s v="southeast"/>
    <n v="2020.5523000000001"/>
  </r>
  <r>
    <n v="50"/>
    <x v="0"/>
    <n v="44.744999999999997"/>
    <n v="0"/>
    <s v="no"/>
    <s v="northeast"/>
    <n v="9541.6955500000004"/>
  </r>
  <r>
    <n v="53"/>
    <x v="1"/>
    <n v="41.47"/>
    <n v="0"/>
    <s v="no"/>
    <s v="southeast"/>
    <n v="9504.3102999999992"/>
  </r>
  <r>
    <n v="34"/>
    <x v="0"/>
    <n v="26.41"/>
    <n v="1"/>
    <s v="no"/>
    <s v="northwest"/>
    <n v="5385.3379000000004"/>
  </r>
  <r>
    <n v="47"/>
    <x v="0"/>
    <n v="29.545000000000002"/>
    <n v="1"/>
    <s v="no"/>
    <s v="northwest"/>
    <n v="8930.9345499999999"/>
  </r>
  <r>
    <n v="33"/>
    <x v="0"/>
    <n v="32.9"/>
    <n v="2"/>
    <s v="no"/>
    <s v="southwest"/>
    <n v="5375.0379999999996"/>
  </r>
  <r>
    <n v="51"/>
    <x v="0"/>
    <n v="38.06"/>
    <n v="0"/>
    <s v="yes"/>
    <s v="southeast"/>
    <n v="44400.4064"/>
  </r>
  <r>
    <n v="49"/>
    <x v="1"/>
    <n v="28.69"/>
    <n v="3"/>
    <s v="no"/>
    <s v="northwest"/>
    <n v="10264.4421"/>
  </r>
  <r>
    <n v="31"/>
    <x v="0"/>
    <n v="30.495000000000001"/>
    <n v="3"/>
    <s v="no"/>
    <s v="northeast"/>
    <n v="6113.2310500000003"/>
  </r>
  <r>
    <n v="36"/>
    <x v="0"/>
    <n v="27.74"/>
    <n v="0"/>
    <s v="no"/>
    <s v="northeast"/>
    <n v="5469.0065999999997"/>
  </r>
  <r>
    <n v="18"/>
    <x v="1"/>
    <n v="35.200000000000003"/>
    <n v="1"/>
    <s v="no"/>
    <s v="southeast"/>
    <n v="1727.54"/>
  </r>
  <r>
    <n v="50"/>
    <x v="0"/>
    <n v="23.54"/>
    <n v="2"/>
    <s v="no"/>
    <s v="southeast"/>
    <n v="10107.220600000001"/>
  </r>
  <r>
    <n v="43"/>
    <x v="0"/>
    <n v="30.684999999999999"/>
    <n v="2"/>
    <s v="no"/>
    <s v="northwest"/>
    <n v="8310.8391499999998"/>
  </r>
  <r>
    <n v="20"/>
    <x v="1"/>
    <n v="40.47"/>
    <n v="0"/>
    <s v="no"/>
    <s v="northeast"/>
    <n v="1984.4532999999999"/>
  </r>
  <r>
    <n v="24"/>
    <x v="0"/>
    <n v="22.6"/>
    <n v="0"/>
    <s v="no"/>
    <s v="southwest"/>
    <n v="2457.502"/>
  </r>
  <r>
    <n v="60"/>
    <x v="1"/>
    <n v="28.9"/>
    <n v="0"/>
    <s v="no"/>
    <s v="southwest"/>
    <n v="12146.971"/>
  </r>
  <r>
    <n v="49"/>
    <x v="0"/>
    <n v="22.61"/>
    <n v="1"/>
    <s v="no"/>
    <s v="northwest"/>
    <n v="9566.9909000000007"/>
  </r>
  <r>
    <n v="60"/>
    <x v="1"/>
    <n v="24.32"/>
    <n v="1"/>
    <s v="no"/>
    <s v="northwest"/>
    <n v="13112.604799999999"/>
  </r>
  <r>
    <n v="51"/>
    <x v="0"/>
    <n v="36.67"/>
    <n v="2"/>
    <s v="no"/>
    <s v="northwest"/>
    <n v="10848.1343"/>
  </r>
  <r>
    <n v="58"/>
    <x v="0"/>
    <n v="33.44"/>
    <n v="0"/>
    <s v="no"/>
    <s v="northwest"/>
    <n v="12231.613600000001"/>
  </r>
  <r>
    <n v="51"/>
    <x v="0"/>
    <n v="40.659999999999997"/>
    <n v="0"/>
    <s v="no"/>
    <s v="northeast"/>
    <n v="9875.6803999999993"/>
  </r>
  <r>
    <n v="53"/>
    <x v="1"/>
    <n v="36.6"/>
    <n v="3"/>
    <s v="no"/>
    <s v="southwest"/>
    <n v="11264.540999999999"/>
  </r>
  <r>
    <n v="62"/>
    <x v="1"/>
    <n v="37.4"/>
    <n v="0"/>
    <s v="no"/>
    <s v="southwest"/>
    <n v="12979.358"/>
  </r>
  <r>
    <n v="19"/>
    <x v="1"/>
    <n v="35.4"/>
    <n v="0"/>
    <s v="no"/>
    <s v="southwest"/>
    <n v="1263.249"/>
  </r>
  <r>
    <n v="50"/>
    <x v="0"/>
    <n v="27.074999999999999"/>
    <n v="1"/>
    <s v="no"/>
    <s v="northeast"/>
    <n v="10106.134249999999"/>
  </r>
  <r>
    <n v="30"/>
    <x v="0"/>
    <n v="39.049999999999997"/>
    <n v="3"/>
    <s v="yes"/>
    <s v="southeast"/>
    <n v="40932.429499999998"/>
  </r>
  <r>
    <n v="41"/>
    <x v="1"/>
    <n v="28.405000000000001"/>
    <n v="1"/>
    <s v="no"/>
    <s v="northwest"/>
    <n v="6664.68595"/>
  </r>
  <r>
    <n v="29"/>
    <x v="0"/>
    <n v="21.754999999999999"/>
    <n v="1"/>
    <s v="yes"/>
    <s v="northeast"/>
    <n v="16657.71745"/>
  </r>
  <r>
    <n v="18"/>
    <x v="0"/>
    <n v="40.28"/>
    <n v="0"/>
    <s v="no"/>
    <s v="northeast"/>
    <n v="2217.6012000000001"/>
  </r>
  <r>
    <n v="41"/>
    <x v="0"/>
    <n v="36.08"/>
    <n v="1"/>
    <s v="no"/>
    <s v="southeast"/>
    <n v="6781.3541999999998"/>
  </r>
  <r>
    <n v="35"/>
    <x v="1"/>
    <n v="24.42"/>
    <n v="3"/>
    <s v="yes"/>
    <s v="southeast"/>
    <n v="19361.998800000001"/>
  </r>
  <r>
    <n v="53"/>
    <x v="1"/>
    <n v="21.4"/>
    <n v="1"/>
    <s v="no"/>
    <s v="southwest"/>
    <n v="10065.413"/>
  </r>
  <r>
    <n v="24"/>
    <x v="0"/>
    <n v="30.1"/>
    <n v="3"/>
    <s v="no"/>
    <s v="southwest"/>
    <n v="4234.9269999999997"/>
  </r>
  <r>
    <n v="48"/>
    <x v="0"/>
    <n v="27.265000000000001"/>
    <n v="1"/>
    <s v="no"/>
    <s v="northeast"/>
    <n v="9447.2503500000003"/>
  </r>
  <r>
    <n v="59"/>
    <x v="0"/>
    <n v="32.1"/>
    <n v="3"/>
    <s v="no"/>
    <s v="southwest"/>
    <n v="14007.222"/>
  </r>
  <r>
    <n v="49"/>
    <x v="0"/>
    <n v="34.770000000000003"/>
    <n v="1"/>
    <s v="no"/>
    <s v="northwest"/>
    <n v="9583.8932999999997"/>
  </r>
  <r>
    <n v="37"/>
    <x v="0"/>
    <n v="38.39"/>
    <n v="0"/>
    <s v="yes"/>
    <s v="southeast"/>
    <n v="40419.019099999998"/>
  </r>
  <r>
    <n v="26"/>
    <x v="1"/>
    <n v="23.7"/>
    <n v="2"/>
    <s v="no"/>
    <s v="southwest"/>
    <n v="3484.3310000000001"/>
  </r>
  <r>
    <n v="23"/>
    <x v="1"/>
    <n v="31.73"/>
    <n v="3"/>
    <s v="yes"/>
    <s v="northeast"/>
    <n v="36189.101699999999"/>
  </r>
  <r>
    <n v="29"/>
    <x v="1"/>
    <n v="35.5"/>
    <n v="2"/>
    <s v="yes"/>
    <s v="southwest"/>
    <n v="44585.455869999998"/>
  </r>
  <r>
    <n v="45"/>
    <x v="1"/>
    <n v="24.035"/>
    <n v="2"/>
    <s v="no"/>
    <s v="northeast"/>
    <n v="8604.4836500000001"/>
  </r>
  <r>
    <n v="27"/>
    <x v="1"/>
    <n v="29.15"/>
    <n v="0"/>
    <s v="yes"/>
    <s v="southeast"/>
    <n v="18246.495500000001"/>
  </r>
  <r>
    <n v="53"/>
    <x v="1"/>
    <n v="34.104999999999997"/>
    <n v="0"/>
    <s v="yes"/>
    <s v="northeast"/>
    <n v="43254.417950000003"/>
  </r>
  <r>
    <n v="31"/>
    <x v="0"/>
    <n v="26.62"/>
    <n v="0"/>
    <s v="no"/>
    <s v="southeast"/>
    <n v="3757.8447999999999"/>
  </r>
  <r>
    <n v="50"/>
    <x v="1"/>
    <n v="26.41"/>
    <n v="0"/>
    <s v="no"/>
    <s v="northwest"/>
    <n v="8827.2098999999998"/>
  </r>
  <r>
    <n v="50"/>
    <x v="0"/>
    <n v="30.114999999999998"/>
    <n v="1"/>
    <s v="no"/>
    <s v="northwest"/>
    <n v="9910.3598500000007"/>
  </r>
  <r>
    <n v="34"/>
    <x v="1"/>
    <n v="27"/>
    <n v="2"/>
    <s v="no"/>
    <s v="southwest"/>
    <n v="11737.848840000001"/>
  </r>
  <r>
    <n v="19"/>
    <x v="1"/>
    <n v="21.754999999999999"/>
    <n v="0"/>
    <s v="no"/>
    <s v="northwest"/>
    <n v="1627.2824499999999"/>
  </r>
  <r>
    <n v="47"/>
    <x v="0"/>
    <n v="36"/>
    <n v="1"/>
    <s v="no"/>
    <s v="southwest"/>
    <n v="8556.9069999999992"/>
  </r>
  <r>
    <n v="28"/>
    <x v="1"/>
    <n v="30.875"/>
    <n v="0"/>
    <s v="no"/>
    <s v="northwest"/>
    <n v="3062.5082499999999"/>
  </r>
  <r>
    <n v="37"/>
    <x v="0"/>
    <n v="26.4"/>
    <n v="0"/>
    <s v="yes"/>
    <s v="southeast"/>
    <n v="19539.242999999999"/>
  </r>
  <r>
    <n v="21"/>
    <x v="1"/>
    <n v="28.975000000000001"/>
    <n v="0"/>
    <s v="no"/>
    <s v="northwest"/>
    <n v="1906.35825"/>
  </r>
  <r>
    <n v="64"/>
    <x v="1"/>
    <n v="37.905000000000001"/>
    <n v="0"/>
    <s v="no"/>
    <s v="northwest"/>
    <n v="14210.53595"/>
  </r>
  <r>
    <n v="58"/>
    <x v="0"/>
    <n v="22.77"/>
    <n v="0"/>
    <s v="no"/>
    <s v="southeast"/>
    <n v="11833.782300000001"/>
  </r>
  <r>
    <n v="24"/>
    <x v="1"/>
    <n v="33.630000000000003"/>
    <n v="4"/>
    <s v="no"/>
    <s v="northeast"/>
    <n v="17128.426080000001"/>
  </r>
  <r>
    <n v="31"/>
    <x v="1"/>
    <n v="27.645"/>
    <n v="2"/>
    <s v="no"/>
    <s v="northeast"/>
    <n v="5031.26955"/>
  </r>
  <r>
    <n v="39"/>
    <x v="0"/>
    <n v="22.8"/>
    <n v="3"/>
    <s v="no"/>
    <s v="northeast"/>
    <n v="7985.8149999999996"/>
  </r>
  <r>
    <n v="47"/>
    <x v="0"/>
    <n v="27.83"/>
    <n v="0"/>
    <s v="yes"/>
    <s v="southeast"/>
    <n v="23065.420699999999"/>
  </r>
  <r>
    <n v="30"/>
    <x v="1"/>
    <n v="37.43"/>
    <n v="3"/>
    <s v="no"/>
    <s v="northeast"/>
    <n v="5428.7277000000004"/>
  </r>
  <r>
    <n v="18"/>
    <x v="1"/>
    <n v="38.17"/>
    <n v="0"/>
    <s v="yes"/>
    <s v="southeast"/>
    <n v="36307.798300000002"/>
  </r>
  <r>
    <n v="22"/>
    <x v="0"/>
    <n v="34.58"/>
    <n v="2"/>
    <s v="no"/>
    <s v="northeast"/>
    <n v="3925.7582000000002"/>
  </r>
  <r>
    <n v="23"/>
    <x v="1"/>
    <n v="35.200000000000003"/>
    <n v="1"/>
    <s v="no"/>
    <s v="southwest"/>
    <n v="2416.9549999999999"/>
  </r>
  <r>
    <n v="33"/>
    <x v="1"/>
    <n v="27.1"/>
    <n v="1"/>
    <s v="yes"/>
    <s v="southwest"/>
    <n v="19040.876"/>
  </r>
  <r>
    <n v="27"/>
    <x v="1"/>
    <n v="26.03"/>
    <n v="0"/>
    <s v="no"/>
    <s v="northeast"/>
    <n v="3070.8087"/>
  </r>
  <r>
    <n v="45"/>
    <x v="0"/>
    <n v="25.175000000000001"/>
    <n v="2"/>
    <s v="no"/>
    <s v="northeast"/>
    <n v="9095.0682500000003"/>
  </r>
  <r>
    <n v="57"/>
    <x v="0"/>
    <n v="31.824999999999999"/>
    <n v="0"/>
    <s v="no"/>
    <s v="northwest"/>
    <n v="11842.623750000001"/>
  </r>
  <r>
    <n v="47"/>
    <x v="1"/>
    <n v="32.299999999999997"/>
    <n v="1"/>
    <s v="no"/>
    <s v="southwest"/>
    <n v="8062.7640000000001"/>
  </r>
  <r>
    <n v="42"/>
    <x v="0"/>
    <n v="29"/>
    <n v="1"/>
    <s v="no"/>
    <s v="southwest"/>
    <n v="7050.6419999999998"/>
  </r>
  <r>
    <n v="64"/>
    <x v="0"/>
    <n v="39.700000000000003"/>
    <n v="0"/>
    <s v="no"/>
    <s v="southwest"/>
    <n v="14319.031000000001"/>
  </r>
  <r>
    <n v="38"/>
    <x v="0"/>
    <n v="19.475000000000001"/>
    <n v="2"/>
    <s v="no"/>
    <s v="northwest"/>
    <n v="6933.2422500000002"/>
  </r>
  <r>
    <n v="61"/>
    <x v="1"/>
    <n v="36.1"/>
    <n v="3"/>
    <s v="no"/>
    <s v="southwest"/>
    <n v="27941.28758"/>
  </r>
  <r>
    <n v="53"/>
    <x v="0"/>
    <n v="26.7"/>
    <n v="2"/>
    <s v="no"/>
    <s v="southwest"/>
    <n v="11150.78"/>
  </r>
  <r>
    <n v="44"/>
    <x v="0"/>
    <n v="36.479999999999997"/>
    <n v="0"/>
    <s v="no"/>
    <s v="northeast"/>
    <n v="12797.20962"/>
  </r>
  <r>
    <n v="19"/>
    <x v="0"/>
    <n v="28.88"/>
    <n v="0"/>
    <s v="yes"/>
    <s v="northwest"/>
    <n v="17748.5062"/>
  </r>
  <r>
    <n v="41"/>
    <x v="1"/>
    <n v="34.200000000000003"/>
    <n v="2"/>
    <s v="no"/>
    <s v="northwest"/>
    <n v="7261.741"/>
  </r>
  <r>
    <n v="51"/>
    <x v="1"/>
    <n v="33.33"/>
    <n v="3"/>
    <s v="no"/>
    <s v="southeast"/>
    <n v="10560.4917"/>
  </r>
  <r>
    <n v="40"/>
    <x v="1"/>
    <n v="32.299999999999997"/>
    <n v="2"/>
    <s v="no"/>
    <s v="northwest"/>
    <n v="6986.6970000000001"/>
  </r>
  <r>
    <n v="45"/>
    <x v="1"/>
    <n v="39.805"/>
    <n v="0"/>
    <s v="no"/>
    <s v="northeast"/>
    <n v="7448.4039499999999"/>
  </r>
  <r>
    <n v="35"/>
    <x v="1"/>
    <n v="34.32"/>
    <n v="3"/>
    <s v="no"/>
    <s v="southeast"/>
    <n v="5934.3797999999997"/>
  </r>
  <r>
    <n v="53"/>
    <x v="1"/>
    <n v="28.88"/>
    <n v="0"/>
    <s v="no"/>
    <s v="northwest"/>
    <n v="9869.8101999999999"/>
  </r>
  <r>
    <n v="30"/>
    <x v="1"/>
    <n v="24.4"/>
    <n v="3"/>
    <s v="yes"/>
    <s v="southwest"/>
    <n v="18259.216"/>
  </r>
  <r>
    <n v="18"/>
    <x v="1"/>
    <n v="41.14"/>
    <n v="0"/>
    <s v="no"/>
    <s v="southeast"/>
    <n v="1146.7965999999999"/>
  </r>
  <r>
    <n v="51"/>
    <x v="1"/>
    <n v="35.97"/>
    <n v="1"/>
    <s v="no"/>
    <s v="southeast"/>
    <n v="9386.1612999999998"/>
  </r>
  <r>
    <n v="50"/>
    <x v="0"/>
    <n v="27.6"/>
    <n v="1"/>
    <s v="yes"/>
    <s v="southwest"/>
    <n v="24520.263999999999"/>
  </r>
  <r>
    <n v="31"/>
    <x v="0"/>
    <n v="29.26"/>
    <n v="1"/>
    <s v="no"/>
    <s v="southeast"/>
    <n v="4350.5144"/>
  </r>
  <r>
    <n v="35"/>
    <x v="0"/>
    <n v="27.7"/>
    <n v="3"/>
    <s v="no"/>
    <s v="southwest"/>
    <n v="6414.1779999999999"/>
  </r>
  <r>
    <n v="60"/>
    <x v="1"/>
    <n v="36.954999999999998"/>
    <n v="0"/>
    <s v="no"/>
    <s v="northeast"/>
    <n v="12741.167450000001"/>
  </r>
  <r>
    <n v="21"/>
    <x v="1"/>
    <n v="36.86"/>
    <n v="0"/>
    <s v="no"/>
    <s v="northwest"/>
    <n v="1917.3184000000001"/>
  </r>
  <r>
    <n v="29"/>
    <x v="1"/>
    <n v="22.515000000000001"/>
    <n v="3"/>
    <s v="no"/>
    <s v="northeast"/>
    <n v="5209.5788499999999"/>
  </r>
  <r>
    <n v="62"/>
    <x v="0"/>
    <n v="29.92"/>
    <n v="0"/>
    <s v="no"/>
    <s v="southeast"/>
    <n v="13457.960800000001"/>
  </r>
  <r>
    <n v="39"/>
    <x v="0"/>
    <n v="41.8"/>
    <n v="0"/>
    <s v="no"/>
    <s v="southeast"/>
    <n v="5662.2250000000004"/>
  </r>
  <r>
    <n v="19"/>
    <x v="1"/>
    <n v="27.6"/>
    <n v="0"/>
    <s v="no"/>
    <s v="southwest"/>
    <n v="1252.4069999999999"/>
  </r>
  <r>
    <n v="22"/>
    <x v="0"/>
    <n v="23.18"/>
    <n v="0"/>
    <s v="no"/>
    <s v="northeast"/>
    <n v="2731.9122000000002"/>
  </r>
  <r>
    <n v="53"/>
    <x v="1"/>
    <n v="20.9"/>
    <n v="0"/>
    <s v="yes"/>
    <s v="southeast"/>
    <n v="21195.817999999999"/>
  </r>
  <r>
    <n v="39"/>
    <x v="0"/>
    <n v="31.92"/>
    <n v="2"/>
    <s v="no"/>
    <s v="northwest"/>
    <n v="7209.4917999999998"/>
  </r>
  <r>
    <n v="27"/>
    <x v="1"/>
    <n v="28.5"/>
    <n v="0"/>
    <s v="yes"/>
    <s v="northwest"/>
    <n v="18310.741999999998"/>
  </r>
  <r>
    <n v="30"/>
    <x v="1"/>
    <n v="44.22"/>
    <n v="2"/>
    <s v="no"/>
    <s v="southeast"/>
    <n v="4266.1657999999998"/>
  </r>
  <r>
    <n v="30"/>
    <x v="0"/>
    <n v="22.895"/>
    <n v="1"/>
    <s v="no"/>
    <s v="northeast"/>
    <n v="4719.52405"/>
  </r>
  <r>
    <n v="58"/>
    <x v="0"/>
    <n v="33.1"/>
    <n v="0"/>
    <s v="no"/>
    <s v="southwest"/>
    <n v="11848.141"/>
  </r>
  <r>
    <n v="33"/>
    <x v="1"/>
    <n v="24.795000000000002"/>
    <n v="0"/>
    <s v="yes"/>
    <s v="northeast"/>
    <n v="17904.527050000001"/>
  </r>
  <r>
    <n v="42"/>
    <x v="0"/>
    <n v="26.18"/>
    <n v="1"/>
    <s v="no"/>
    <s v="southeast"/>
    <n v="7046.7222000000002"/>
  </r>
  <r>
    <n v="64"/>
    <x v="0"/>
    <n v="35.97"/>
    <n v="0"/>
    <s v="no"/>
    <s v="southeast"/>
    <n v="14313.846299999999"/>
  </r>
  <r>
    <n v="21"/>
    <x v="1"/>
    <n v="22.3"/>
    <n v="1"/>
    <s v="no"/>
    <s v="southwest"/>
    <n v="2103.08"/>
  </r>
  <r>
    <n v="18"/>
    <x v="0"/>
    <n v="42.24"/>
    <n v="0"/>
    <s v="yes"/>
    <s v="southeast"/>
    <n v="38792.685599999997"/>
  </r>
  <r>
    <n v="23"/>
    <x v="1"/>
    <n v="26.51"/>
    <n v="0"/>
    <s v="no"/>
    <s v="southeast"/>
    <n v="1815.8759"/>
  </r>
  <r>
    <n v="45"/>
    <x v="0"/>
    <n v="35.814999999999998"/>
    <n v="0"/>
    <s v="no"/>
    <s v="northwest"/>
    <n v="7731.8578500000003"/>
  </r>
  <r>
    <n v="40"/>
    <x v="0"/>
    <n v="41.42"/>
    <n v="1"/>
    <s v="no"/>
    <s v="northwest"/>
    <n v="28476.734990000001"/>
  </r>
  <r>
    <n v="19"/>
    <x v="0"/>
    <n v="36.575000000000003"/>
    <n v="0"/>
    <s v="no"/>
    <s v="northwest"/>
    <n v="2136.8822500000001"/>
  </r>
  <r>
    <n v="18"/>
    <x v="1"/>
    <n v="30.14"/>
    <n v="0"/>
    <s v="no"/>
    <s v="southeast"/>
    <n v="1131.5065999999999"/>
  </r>
  <r>
    <n v="25"/>
    <x v="1"/>
    <n v="25.84"/>
    <n v="1"/>
    <s v="no"/>
    <s v="northeast"/>
    <n v="3309.7926000000002"/>
  </r>
  <r>
    <n v="46"/>
    <x v="0"/>
    <n v="30.8"/>
    <n v="3"/>
    <s v="no"/>
    <s v="southwest"/>
    <n v="9414.92"/>
  </r>
  <r>
    <n v="33"/>
    <x v="0"/>
    <n v="42.94"/>
    <n v="3"/>
    <s v="no"/>
    <s v="northwest"/>
    <n v="6360.9935999999998"/>
  </r>
  <r>
    <n v="54"/>
    <x v="1"/>
    <n v="21.01"/>
    <n v="2"/>
    <s v="no"/>
    <s v="southeast"/>
    <n v="11013.7119"/>
  </r>
  <r>
    <n v="28"/>
    <x v="1"/>
    <n v="22.515000000000001"/>
    <n v="2"/>
    <s v="no"/>
    <s v="northeast"/>
    <n v="4428.8878500000001"/>
  </r>
  <r>
    <n v="36"/>
    <x v="1"/>
    <n v="34.43"/>
    <n v="2"/>
    <s v="no"/>
    <s v="southeast"/>
    <n v="5584.3056999999999"/>
  </r>
  <r>
    <n v="20"/>
    <x v="0"/>
    <n v="31.46"/>
    <n v="0"/>
    <s v="no"/>
    <s v="southeast"/>
    <n v="1877.9294"/>
  </r>
  <r>
    <n v="24"/>
    <x v="0"/>
    <n v="24.225000000000001"/>
    <n v="0"/>
    <s v="no"/>
    <s v="northwest"/>
    <n v="2842.7607499999999"/>
  </r>
  <r>
    <n v="23"/>
    <x v="1"/>
    <n v="37.1"/>
    <n v="3"/>
    <s v="no"/>
    <s v="southwest"/>
    <n v="3597.596"/>
  </r>
  <r>
    <n v="47"/>
    <x v="0"/>
    <n v="26.125"/>
    <n v="1"/>
    <s v="yes"/>
    <s v="northeast"/>
    <n v="23401.30575"/>
  </r>
  <r>
    <n v="33"/>
    <x v="0"/>
    <n v="35.53"/>
    <n v="0"/>
    <s v="yes"/>
    <s v="northwest"/>
    <n v="55135.402090000003"/>
  </r>
  <r>
    <n v="45"/>
    <x v="1"/>
    <n v="33.700000000000003"/>
    <n v="1"/>
    <s v="no"/>
    <s v="southwest"/>
    <n v="7445.9179999999997"/>
  </r>
  <r>
    <n v="26"/>
    <x v="1"/>
    <n v="17.670000000000002"/>
    <n v="0"/>
    <s v="no"/>
    <s v="northwest"/>
    <n v="2680.9493000000002"/>
  </r>
  <r>
    <n v="18"/>
    <x v="0"/>
    <n v="31.13"/>
    <n v="0"/>
    <s v="no"/>
    <s v="southeast"/>
    <n v="1621.8827000000001"/>
  </r>
  <r>
    <n v="44"/>
    <x v="0"/>
    <n v="29.81"/>
    <n v="2"/>
    <s v="no"/>
    <s v="southeast"/>
    <n v="8219.2039000000004"/>
  </r>
  <r>
    <n v="60"/>
    <x v="1"/>
    <n v="24.32"/>
    <n v="0"/>
    <s v="no"/>
    <s v="northwest"/>
    <n v="12523.604799999999"/>
  </r>
  <r>
    <n v="64"/>
    <x v="0"/>
    <n v="31.824999999999999"/>
    <n v="2"/>
    <s v="no"/>
    <s v="northeast"/>
    <n v="16069.08475"/>
  </r>
  <r>
    <n v="56"/>
    <x v="1"/>
    <n v="31.79"/>
    <n v="2"/>
    <s v="yes"/>
    <s v="southeast"/>
    <n v="43813.866099999999"/>
  </r>
  <r>
    <n v="36"/>
    <x v="1"/>
    <n v="28.024999999999999"/>
    <n v="1"/>
    <s v="yes"/>
    <s v="northeast"/>
    <n v="20773.62775"/>
  </r>
  <r>
    <n v="41"/>
    <x v="1"/>
    <n v="30.78"/>
    <n v="3"/>
    <s v="yes"/>
    <s v="northeast"/>
    <n v="39597.407200000001"/>
  </r>
  <r>
    <n v="39"/>
    <x v="1"/>
    <n v="21.85"/>
    <n v="1"/>
    <s v="no"/>
    <s v="northwest"/>
    <n v="6117.4944999999998"/>
  </r>
  <r>
    <n v="63"/>
    <x v="1"/>
    <n v="33.1"/>
    <n v="0"/>
    <s v="no"/>
    <s v="southwest"/>
    <n v="13393.755999999999"/>
  </r>
  <r>
    <n v="36"/>
    <x v="0"/>
    <n v="25.84"/>
    <n v="0"/>
    <s v="no"/>
    <s v="northwest"/>
    <n v="5266.3656000000001"/>
  </r>
  <r>
    <n v="28"/>
    <x v="0"/>
    <n v="23.844999999999999"/>
    <n v="2"/>
    <s v="no"/>
    <s v="northwest"/>
    <n v="4719.7365499999996"/>
  </r>
  <r>
    <n v="58"/>
    <x v="1"/>
    <n v="34.39"/>
    <n v="0"/>
    <s v="no"/>
    <s v="northwest"/>
    <n v="11743.9341"/>
  </r>
  <r>
    <n v="36"/>
    <x v="1"/>
    <n v="33.82"/>
    <n v="1"/>
    <s v="no"/>
    <s v="northwest"/>
    <n v="5377.4578000000001"/>
  </r>
  <r>
    <n v="42"/>
    <x v="1"/>
    <n v="35.97"/>
    <n v="2"/>
    <s v="no"/>
    <s v="southeast"/>
    <n v="7160.3302999999996"/>
  </r>
  <r>
    <n v="36"/>
    <x v="1"/>
    <n v="31.5"/>
    <n v="0"/>
    <s v="no"/>
    <s v="southwest"/>
    <n v="4402.2330000000002"/>
  </r>
  <r>
    <n v="56"/>
    <x v="0"/>
    <n v="28.31"/>
    <n v="0"/>
    <s v="no"/>
    <s v="northeast"/>
    <n v="11657.7189"/>
  </r>
  <r>
    <n v="35"/>
    <x v="0"/>
    <n v="23.465"/>
    <n v="2"/>
    <s v="no"/>
    <s v="northeast"/>
    <n v="6402.2913500000004"/>
  </r>
  <r>
    <n v="59"/>
    <x v="0"/>
    <n v="31.35"/>
    <n v="0"/>
    <s v="no"/>
    <s v="northwest"/>
    <n v="12622.1795"/>
  </r>
  <r>
    <n v="21"/>
    <x v="1"/>
    <n v="31.1"/>
    <n v="0"/>
    <s v="no"/>
    <s v="southwest"/>
    <n v="1526.3119999999999"/>
  </r>
  <r>
    <n v="59"/>
    <x v="1"/>
    <n v="24.7"/>
    <n v="0"/>
    <s v="no"/>
    <s v="northeast"/>
    <n v="12323.936"/>
  </r>
  <r>
    <n v="23"/>
    <x v="0"/>
    <n v="32.78"/>
    <n v="2"/>
    <s v="yes"/>
    <s v="southeast"/>
    <n v="36021.011200000001"/>
  </r>
  <r>
    <n v="57"/>
    <x v="0"/>
    <n v="29.81"/>
    <n v="0"/>
    <s v="yes"/>
    <s v="southeast"/>
    <n v="27533.912899999999"/>
  </r>
  <r>
    <n v="53"/>
    <x v="1"/>
    <n v="30.495000000000001"/>
    <n v="0"/>
    <s v="no"/>
    <s v="northeast"/>
    <n v="10072.055050000001"/>
  </r>
  <r>
    <n v="60"/>
    <x v="0"/>
    <n v="32.450000000000003"/>
    <n v="0"/>
    <s v="yes"/>
    <s v="southeast"/>
    <n v="45008.955499999996"/>
  </r>
  <r>
    <n v="51"/>
    <x v="0"/>
    <n v="34.200000000000003"/>
    <n v="1"/>
    <s v="no"/>
    <s v="southwest"/>
    <n v="9872.7009999999991"/>
  </r>
  <r>
    <n v="23"/>
    <x v="1"/>
    <n v="50.38"/>
    <n v="1"/>
    <s v="no"/>
    <s v="southeast"/>
    <n v="2438.0551999999998"/>
  </r>
  <r>
    <n v="27"/>
    <x v="0"/>
    <n v="24.1"/>
    <n v="0"/>
    <s v="no"/>
    <s v="southwest"/>
    <n v="2974.1260000000002"/>
  </r>
  <r>
    <n v="55"/>
    <x v="1"/>
    <n v="32.774999999999999"/>
    <n v="0"/>
    <s v="no"/>
    <s v="northwest"/>
    <n v="10601.632250000001"/>
  </r>
  <r>
    <n v="37"/>
    <x v="0"/>
    <n v="30.78"/>
    <n v="0"/>
    <s v="yes"/>
    <s v="northeast"/>
    <n v="37270.1512"/>
  </r>
  <r>
    <n v="61"/>
    <x v="1"/>
    <n v="32.299999999999997"/>
    <n v="2"/>
    <s v="no"/>
    <s v="northwest"/>
    <n v="14119.62"/>
  </r>
  <r>
    <n v="46"/>
    <x v="0"/>
    <n v="35.53"/>
    <n v="0"/>
    <s v="yes"/>
    <s v="northeast"/>
    <n v="42111.664700000001"/>
  </r>
  <r>
    <n v="53"/>
    <x v="0"/>
    <n v="23.75"/>
    <n v="2"/>
    <s v="no"/>
    <s v="northeast"/>
    <n v="11729.6795"/>
  </r>
  <r>
    <n v="49"/>
    <x v="0"/>
    <n v="23.844999999999999"/>
    <n v="3"/>
    <s v="yes"/>
    <s v="northeast"/>
    <n v="24106.912550000001"/>
  </r>
  <r>
    <n v="20"/>
    <x v="0"/>
    <n v="29.6"/>
    <n v="0"/>
    <s v="no"/>
    <s v="southwest"/>
    <n v="1875.3440000000001"/>
  </r>
  <r>
    <n v="48"/>
    <x v="0"/>
    <n v="33.11"/>
    <n v="0"/>
    <s v="yes"/>
    <s v="southeast"/>
    <n v="40974.164900000003"/>
  </r>
  <r>
    <n v="25"/>
    <x v="1"/>
    <n v="24.13"/>
    <n v="0"/>
    <s v="yes"/>
    <s v="northwest"/>
    <n v="15817.985699999999"/>
  </r>
  <r>
    <n v="25"/>
    <x v="0"/>
    <n v="32.229999999999997"/>
    <n v="1"/>
    <s v="no"/>
    <s v="southeast"/>
    <n v="18218.161390000001"/>
  </r>
  <r>
    <n v="57"/>
    <x v="1"/>
    <n v="28.1"/>
    <n v="0"/>
    <s v="no"/>
    <s v="southwest"/>
    <n v="10965.446"/>
  </r>
  <r>
    <n v="37"/>
    <x v="0"/>
    <n v="47.6"/>
    <n v="2"/>
    <s v="yes"/>
    <s v="southwest"/>
    <n v="46113.510999999999"/>
  </r>
  <r>
    <n v="38"/>
    <x v="0"/>
    <n v="28"/>
    <n v="3"/>
    <s v="no"/>
    <s v="southwest"/>
    <n v="7151.0919999999996"/>
  </r>
  <r>
    <n v="55"/>
    <x v="0"/>
    <n v="33.534999999999997"/>
    <n v="2"/>
    <s v="no"/>
    <s v="northwest"/>
    <n v="12269.68865"/>
  </r>
  <r>
    <n v="36"/>
    <x v="0"/>
    <n v="19.855"/>
    <n v="0"/>
    <s v="no"/>
    <s v="northeast"/>
    <n v="5458.0464499999998"/>
  </r>
  <r>
    <n v="51"/>
    <x v="1"/>
    <n v="25.4"/>
    <n v="0"/>
    <s v="no"/>
    <s v="southwest"/>
    <n v="8782.4689999999991"/>
  </r>
  <r>
    <n v="40"/>
    <x v="1"/>
    <n v="29.9"/>
    <n v="2"/>
    <s v="no"/>
    <s v="southwest"/>
    <n v="6600.3609999999999"/>
  </r>
  <r>
    <n v="18"/>
    <x v="1"/>
    <n v="37.29"/>
    <n v="0"/>
    <s v="no"/>
    <s v="southeast"/>
    <n v="1141.4450999999999"/>
  </r>
  <r>
    <n v="57"/>
    <x v="1"/>
    <n v="43.7"/>
    <n v="1"/>
    <s v="no"/>
    <s v="southwest"/>
    <n v="11576.13"/>
  </r>
  <r>
    <n v="61"/>
    <x v="1"/>
    <n v="23.655000000000001"/>
    <n v="0"/>
    <s v="no"/>
    <s v="northeast"/>
    <n v="13129.603450000001"/>
  </r>
  <r>
    <n v="25"/>
    <x v="0"/>
    <n v="24.3"/>
    <n v="3"/>
    <s v="no"/>
    <s v="southwest"/>
    <n v="4391.652"/>
  </r>
  <r>
    <n v="50"/>
    <x v="1"/>
    <n v="36.200000000000003"/>
    <n v="0"/>
    <s v="no"/>
    <s v="southwest"/>
    <n v="8457.8179999999993"/>
  </r>
  <r>
    <n v="26"/>
    <x v="0"/>
    <n v="29.48"/>
    <n v="1"/>
    <s v="no"/>
    <s v="southeast"/>
    <n v="3392.3652000000002"/>
  </r>
  <r>
    <n v="42"/>
    <x v="1"/>
    <n v="24.86"/>
    <n v="0"/>
    <s v="no"/>
    <s v="southeast"/>
    <n v="5966.8873999999996"/>
  </r>
  <r>
    <n v="43"/>
    <x v="1"/>
    <n v="30.1"/>
    <n v="1"/>
    <s v="no"/>
    <s v="southwest"/>
    <n v="6849.0259999999998"/>
  </r>
  <r>
    <n v="44"/>
    <x v="1"/>
    <n v="21.85"/>
    <n v="3"/>
    <s v="no"/>
    <s v="northeast"/>
    <n v="8891.1394999999993"/>
  </r>
  <r>
    <n v="23"/>
    <x v="0"/>
    <n v="28.12"/>
    <n v="0"/>
    <s v="no"/>
    <s v="northwest"/>
    <n v="2690.1138000000001"/>
  </r>
  <r>
    <n v="49"/>
    <x v="0"/>
    <n v="27.1"/>
    <n v="1"/>
    <s v="no"/>
    <s v="southwest"/>
    <n v="26140.3603"/>
  </r>
  <r>
    <n v="33"/>
    <x v="1"/>
    <n v="33.44"/>
    <n v="5"/>
    <s v="no"/>
    <s v="southeast"/>
    <n v="6653.7885999999999"/>
  </r>
  <r>
    <n v="41"/>
    <x v="1"/>
    <n v="28.8"/>
    <n v="1"/>
    <s v="no"/>
    <s v="southwest"/>
    <n v="6282.2349999999997"/>
  </r>
  <r>
    <n v="37"/>
    <x v="0"/>
    <n v="29.5"/>
    <n v="2"/>
    <s v="no"/>
    <s v="southwest"/>
    <n v="6311.9520000000002"/>
  </r>
  <r>
    <n v="22"/>
    <x v="1"/>
    <n v="34.799999999999997"/>
    <n v="3"/>
    <s v="no"/>
    <s v="southwest"/>
    <n v="3443.0639999999999"/>
  </r>
  <r>
    <n v="23"/>
    <x v="1"/>
    <n v="27.36"/>
    <n v="1"/>
    <s v="no"/>
    <s v="northwest"/>
    <n v="2789.0574000000001"/>
  </r>
  <r>
    <n v="21"/>
    <x v="0"/>
    <n v="22.135000000000002"/>
    <n v="0"/>
    <s v="no"/>
    <s v="northeast"/>
    <n v="2585.8506499999999"/>
  </r>
  <r>
    <n v="51"/>
    <x v="0"/>
    <n v="37.049999999999997"/>
    <n v="3"/>
    <s v="yes"/>
    <s v="northeast"/>
    <n v="46255.112500000003"/>
  </r>
  <r>
    <n v="25"/>
    <x v="1"/>
    <n v="26.695"/>
    <n v="4"/>
    <s v="no"/>
    <s v="northwest"/>
    <n v="4877.9810500000003"/>
  </r>
  <r>
    <n v="32"/>
    <x v="1"/>
    <n v="28.93"/>
    <n v="1"/>
    <s v="yes"/>
    <s v="southeast"/>
    <n v="19719.6947"/>
  </r>
  <r>
    <n v="57"/>
    <x v="1"/>
    <n v="28.975000000000001"/>
    <n v="0"/>
    <s v="yes"/>
    <s v="northeast"/>
    <n v="27218.437249999999"/>
  </r>
  <r>
    <n v="36"/>
    <x v="0"/>
    <n v="30.02"/>
    <n v="0"/>
    <s v="no"/>
    <s v="northwest"/>
    <n v="5272.1758"/>
  </r>
  <r>
    <n v="22"/>
    <x v="1"/>
    <n v="39.5"/>
    <n v="0"/>
    <s v="no"/>
    <s v="southwest"/>
    <n v="1682.597"/>
  </r>
  <r>
    <n v="57"/>
    <x v="1"/>
    <n v="33.630000000000003"/>
    <n v="1"/>
    <s v="no"/>
    <s v="northwest"/>
    <n v="11945.1327"/>
  </r>
  <r>
    <n v="64"/>
    <x v="0"/>
    <n v="26.885000000000002"/>
    <n v="0"/>
    <s v="yes"/>
    <s v="northwest"/>
    <n v="29330.98315"/>
  </r>
  <r>
    <n v="36"/>
    <x v="0"/>
    <n v="29.04"/>
    <n v="4"/>
    <s v="no"/>
    <s v="southeast"/>
    <n v="7243.8136000000004"/>
  </r>
  <r>
    <n v="54"/>
    <x v="1"/>
    <n v="24.035"/>
    <n v="0"/>
    <s v="no"/>
    <s v="northeast"/>
    <n v="10422.916649999999"/>
  </r>
  <r>
    <n v="47"/>
    <x v="1"/>
    <n v="38.94"/>
    <n v="2"/>
    <s v="yes"/>
    <s v="southeast"/>
    <n v="44202.653599999998"/>
  </r>
  <r>
    <n v="62"/>
    <x v="1"/>
    <n v="32.11"/>
    <n v="0"/>
    <s v="no"/>
    <s v="northeast"/>
    <n v="13555.0049"/>
  </r>
  <r>
    <n v="61"/>
    <x v="0"/>
    <n v="44"/>
    <n v="0"/>
    <s v="no"/>
    <s v="southwest"/>
    <n v="13063.883"/>
  </r>
  <r>
    <n v="43"/>
    <x v="0"/>
    <n v="20.045000000000002"/>
    <n v="2"/>
    <s v="yes"/>
    <s v="northeast"/>
    <n v="19798.054550000001"/>
  </r>
  <r>
    <n v="19"/>
    <x v="1"/>
    <n v="25.555"/>
    <n v="1"/>
    <s v="no"/>
    <s v="northwest"/>
    <n v="2221.5644499999999"/>
  </r>
  <r>
    <n v="18"/>
    <x v="0"/>
    <n v="40.26"/>
    <n v="0"/>
    <s v="no"/>
    <s v="southeast"/>
    <n v="1634.5734"/>
  </r>
  <r>
    <n v="19"/>
    <x v="0"/>
    <n v="22.515000000000001"/>
    <n v="0"/>
    <s v="no"/>
    <s v="northwest"/>
    <n v="2117.3388500000001"/>
  </r>
  <r>
    <n v="49"/>
    <x v="1"/>
    <n v="22.515000000000001"/>
    <n v="0"/>
    <s v="no"/>
    <s v="northeast"/>
    <n v="8688.8588500000005"/>
  </r>
  <r>
    <n v="60"/>
    <x v="1"/>
    <n v="40.92"/>
    <n v="0"/>
    <s v="yes"/>
    <s v="southeast"/>
    <n v="48673.558799999999"/>
  </r>
  <r>
    <n v="26"/>
    <x v="1"/>
    <n v="27.265000000000001"/>
    <n v="3"/>
    <s v="no"/>
    <s v="northeast"/>
    <n v="4661.2863500000003"/>
  </r>
  <r>
    <n v="49"/>
    <x v="1"/>
    <n v="36.85"/>
    <n v="0"/>
    <s v="no"/>
    <s v="southeast"/>
    <n v="8125.7844999999998"/>
  </r>
  <r>
    <n v="60"/>
    <x v="0"/>
    <n v="35.1"/>
    <n v="0"/>
    <s v="no"/>
    <s v="southwest"/>
    <n v="12644.589"/>
  </r>
  <r>
    <n v="26"/>
    <x v="0"/>
    <n v="29.355"/>
    <n v="2"/>
    <s v="no"/>
    <s v="northeast"/>
    <n v="4564.1914500000003"/>
  </r>
  <r>
    <n v="27"/>
    <x v="1"/>
    <n v="32.585000000000001"/>
    <n v="3"/>
    <s v="no"/>
    <s v="northeast"/>
    <n v="4846.9201499999999"/>
  </r>
  <r>
    <n v="44"/>
    <x v="0"/>
    <n v="32.340000000000003"/>
    <n v="1"/>
    <s v="no"/>
    <s v="southeast"/>
    <n v="7633.7205999999996"/>
  </r>
  <r>
    <n v="63"/>
    <x v="1"/>
    <n v="39.799999999999997"/>
    <n v="3"/>
    <s v="no"/>
    <s v="southwest"/>
    <n v="15170.069"/>
  </r>
  <r>
    <n v="32"/>
    <x v="0"/>
    <n v="24.6"/>
    <n v="0"/>
    <s v="yes"/>
    <s v="southwest"/>
    <n v="17496.306"/>
  </r>
  <r>
    <n v="22"/>
    <x v="1"/>
    <n v="28.31"/>
    <n v="1"/>
    <s v="no"/>
    <s v="northwest"/>
    <n v="2639.0428999999999"/>
  </r>
  <r>
    <n v="18"/>
    <x v="1"/>
    <n v="31.73"/>
    <n v="0"/>
    <s v="yes"/>
    <s v="northeast"/>
    <n v="33732.686699999998"/>
  </r>
  <r>
    <n v="59"/>
    <x v="0"/>
    <n v="26.695"/>
    <n v="3"/>
    <s v="no"/>
    <s v="northwest"/>
    <n v="14382.709049999999"/>
  </r>
  <r>
    <n v="44"/>
    <x v="0"/>
    <n v="27.5"/>
    <n v="1"/>
    <s v="no"/>
    <s v="southwest"/>
    <n v="7626.9930000000004"/>
  </r>
  <r>
    <n v="33"/>
    <x v="1"/>
    <n v="24.605"/>
    <n v="2"/>
    <s v="no"/>
    <s v="northwest"/>
    <n v="5257.5079500000002"/>
  </r>
  <r>
    <n v="24"/>
    <x v="0"/>
    <n v="33.99"/>
    <n v="0"/>
    <s v="no"/>
    <s v="southeast"/>
    <n v="2473.3341"/>
  </r>
  <r>
    <n v="43"/>
    <x v="0"/>
    <n v="26.885000000000002"/>
    <n v="0"/>
    <s v="yes"/>
    <s v="northwest"/>
    <n v="21774.32215"/>
  </r>
  <r>
    <n v="45"/>
    <x v="1"/>
    <n v="22.895"/>
    <n v="0"/>
    <s v="yes"/>
    <s v="northeast"/>
    <n v="35069.374519999998"/>
  </r>
  <r>
    <n v="61"/>
    <x v="0"/>
    <n v="28.2"/>
    <n v="0"/>
    <s v="no"/>
    <s v="southwest"/>
    <n v="13041.921"/>
  </r>
  <r>
    <n v="35"/>
    <x v="0"/>
    <n v="34.21"/>
    <n v="1"/>
    <s v="no"/>
    <s v="southeast"/>
    <n v="5245.2268999999997"/>
  </r>
  <r>
    <n v="62"/>
    <x v="0"/>
    <n v="25"/>
    <n v="0"/>
    <s v="no"/>
    <s v="southwest"/>
    <n v="13451.121999999999"/>
  </r>
  <r>
    <n v="62"/>
    <x v="0"/>
    <n v="33.200000000000003"/>
    <n v="0"/>
    <s v="no"/>
    <s v="southwest"/>
    <n v="13462.52"/>
  </r>
  <r>
    <n v="38"/>
    <x v="1"/>
    <n v="31"/>
    <n v="1"/>
    <s v="no"/>
    <s v="southwest"/>
    <n v="5488.2619999999997"/>
  </r>
  <r>
    <n v="34"/>
    <x v="1"/>
    <n v="35.814999999999998"/>
    <n v="0"/>
    <s v="no"/>
    <s v="northwest"/>
    <n v="4320.4108500000002"/>
  </r>
  <r>
    <n v="43"/>
    <x v="1"/>
    <n v="23.2"/>
    <n v="0"/>
    <s v="no"/>
    <s v="southwest"/>
    <n v="6250.4350000000004"/>
  </r>
  <r>
    <n v="50"/>
    <x v="1"/>
    <n v="32.11"/>
    <n v="2"/>
    <s v="no"/>
    <s v="northeast"/>
    <n v="25333.332839999999"/>
  </r>
  <r>
    <n v="19"/>
    <x v="0"/>
    <n v="23.4"/>
    <n v="2"/>
    <s v="no"/>
    <s v="southwest"/>
    <n v="2913.569"/>
  </r>
  <r>
    <n v="57"/>
    <x v="0"/>
    <n v="20.100000000000001"/>
    <n v="1"/>
    <s v="no"/>
    <s v="southwest"/>
    <n v="12032.325999999999"/>
  </r>
  <r>
    <n v="62"/>
    <x v="0"/>
    <n v="39.159999999999997"/>
    <n v="0"/>
    <s v="no"/>
    <s v="southeast"/>
    <n v="13470.804400000001"/>
  </r>
  <r>
    <n v="41"/>
    <x v="1"/>
    <n v="34.21"/>
    <n v="1"/>
    <s v="no"/>
    <s v="southeast"/>
    <n v="6289.7548999999999"/>
  </r>
  <r>
    <n v="26"/>
    <x v="1"/>
    <n v="46.53"/>
    <n v="1"/>
    <s v="no"/>
    <s v="southeast"/>
    <n v="2927.0646999999999"/>
  </r>
  <r>
    <n v="39"/>
    <x v="0"/>
    <n v="32.5"/>
    <n v="1"/>
    <s v="no"/>
    <s v="southwest"/>
    <n v="6238.2979999999998"/>
  </r>
  <r>
    <n v="46"/>
    <x v="1"/>
    <n v="25.8"/>
    <n v="5"/>
    <s v="no"/>
    <s v="southwest"/>
    <n v="10096.969999999999"/>
  </r>
  <r>
    <n v="45"/>
    <x v="0"/>
    <n v="35.299999999999997"/>
    <n v="0"/>
    <s v="no"/>
    <s v="southwest"/>
    <n v="7348.1419999999998"/>
  </r>
  <r>
    <n v="32"/>
    <x v="1"/>
    <n v="37.18"/>
    <n v="2"/>
    <s v="no"/>
    <s v="southeast"/>
    <n v="4673.3922000000002"/>
  </r>
  <r>
    <n v="59"/>
    <x v="0"/>
    <n v="27.5"/>
    <n v="0"/>
    <s v="no"/>
    <s v="southwest"/>
    <n v="12233.828"/>
  </r>
  <r>
    <n v="44"/>
    <x v="1"/>
    <n v="29.734999999999999"/>
    <n v="2"/>
    <s v="no"/>
    <s v="northeast"/>
    <n v="32108.662820000001"/>
  </r>
  <r>
    <n v="39"/>
    <x v="0"/>
    <n v="24.225000000000001"/>
    <n v="5"/>
    <s v="no"/>
    <s v="northwest"/>
    <n v="8965.7957499999993"/>
  </r>
  <r>
    <n v="18"/>
    <x v="1"/>
    <n v="26.18"/>
    <n v="2"/>
    <s v="no"/>
    <s v="southeast"/>
    <n v="2304.0021999999999"/>
  </r>
  <r>
    <n v="53"/>
    <x v="1"/>
    <n v="29.48"/>
    <n v="0"/>
    <s v="no"/>
    <s v="southeast"/>
    <n v="9487.6442000000006"/>
  </r>
  <r>
    <n v="18"/>
    <x v="1"/>
    <n v="23.21"/>
    <n v="0"/>
    <s v="no"/>
    <s v="southeast"/>
    <n v="1121.8739"/>
  </r>
  <r>
    <n v="50"/>
    <x v="0"/>
    <n v="46.09"/>
    <n v="1"/>
    <s v="no"/>
    <s v="southeast"/>
    <n v="9549.5650999999998"/>
  </r>
  <r>
    <n v="18"/>
    <x v="0"/>
    <n v="40.185000000000002"/>
    <n v="0"/>
    <s v="no"/>
    <s v="northeast"/>
    <n v="2217.4691499999999"/>
  </r>
  <r>
    <n v="19"/>
    <x v="1"/>
    <n v="22.61"/>
    <n v="0"/>
    <s v="no"/>
    <s v="northwest"/>
    <n v="1628.4709"/>
  </r>
  <r>
    <n v="62"/>
    <x v="1"/>
    <n v="39.93"/>
    <n v="0"/>
    <s v="no"/>
    <s v="southeast"/>
    <n v="12982.8747"/>
  </r>
  <r>
    <n v="56"/>
    <x v="0"/>
    <n v="35.799999999999997"/>
    <n v="1"/>
    <s v="no"/>
    <s v="southwest"/>
    <n v="11674.13"/>
  </r>
  <r>
    <n v="42"/>
    <x v="1"/>
    <n v="35.799999999999997"/>
    <n v="2"/>
    <s v="no"/>
    <s v="southwest"/>
    <n v="7160.0940000000001"/>
  </r>
  <r>
    <n v="37"/>
    <x v="1"/>
    <n v="34.200000000000003"/>
    <n v="1"/>
    <s v="yes"/>
    <s v="northeast"/>
    <n v="39047.285000000003"/>
  </r>
  <r>
    <n v="42"/>
    <x v="1"/>
    <n v="31.254999999999999"/>
    <n v="0"/>
    <s v="no"/>
    <s v="northwest"/>
    <n v="6358.7764500000003"/>
  </r>
  <r>
    <n v="25"/>
    <x v="1"/>
    <n v="29.7"/>
    <n v="3"/>
    <s v="yes"/>
    <s v="southwest"/>
    <n v="19933.457999999999"/>
  </r>
  <r>
    <n v="57"/>
    <x v="1"/>
    <n v="18.335000000000001"/>
    <n v="0"/>
    <s v="no"/>
    <s v="northeast"/>
    <n v="11534.872649999999"/>
  </r>
  <r>
    <n v="51"/>
    <x v="1"/>
    <n v="42.9"/>
    <n v="2"/>
    <s v="yes"/>
    <s v="southeast"/>
    <n v="47462.894"/>
  </r>
  <r>
    <n v="30"/>
    <x v="0"/>
    <n v="28.405000000000001"/>
    <n v="1"/>
    <s v="no"/>
    <s v="northwest"/>
    <n v="4527.1829500000003"/>
  </r>
  <r>
    <n v="44"/>
    <x v="1"/>
    <n v="30.2"/>
    <n v="2"/>
    <s v="yes"/>
    <s v="southwest"/>
    <n v="38998.546000000002"/>
  </r>
  <r>
    <n v="34"/>
    <x v="1"/>
    <n v="27.835000000000001"/>
    <n v="1"/>
    <s v="yes"/>
    <s v="northwest"/>
    <n v="20009.63365"/>
  </r>
  <r>
    <n v="31"/>
    <x v="1"/>
    <n v="39.49"/>
    <n v="1"/>
    <s v="no"/>
    <s v="southeast"/>
    <n v="3875.7341000000001"/>
  </r>
  <r>
    <n v="54"/>
    <x v="1"/>
    <n v="30.8"/>
    <n v="1"/>
    <s v="yes"/>
    <s v="southeast"/>
    <n v="41999.519999999997"/>
  </r>
  <r>
    <n v="24"/>
    <x v="1"/>
    <n v="26.79"/>
    <n v="1"/>
    <s v="no"/>
    <s v="northwest"/>
    <n v="12609.88702"/>
  </r>
  <r>
    <n v="43"/>
    <x v="1"/>
    <n v="34.96"/>
    <n v="1"/>
    <s v="yes"/>
    <s v="northeast"/>
    <n v="41034.221400000002"/>
  </r>
  <r>
    <n v="48"/>
    <x v="1"/>
    <n v="36.67"/>
    <n v="1"/>
    <s v="no"/>
    <s v="northwest"/>
    <n v="28468.919010000001"/>
  </r>
  <r>
    <n v="19"/>
    <x v="0"/>
    <n v="39.615000000000002"/>
    <n v="1"/>
    <s v="no"/>
    <s v="northwest"/>
    <n v="2730.1078499999999"/>
  </r>
  <r>
    <n v="29"/>
    <x v="0"/>
    <n v="25.9"/>
    <n v="0"/>
    <s v="no"/>
    <s v="southwest"/>
    <n v="3353.2840000000001"/>
  </r>
  <r>
    <n v="63"/>
    <x v="0"/>
    <n v="35.200000000000003"/>
    <n v="1"/>
    <s v="no"/>
    <s v="southeast"/>
    <n v="14474.674999999999"/>
  </r>
  <r>
    <n v="46"/>
    <x v="1"/>
    <n v="24.795000000000002"/>
    <n v="3"/>
    <s v="no"/>
    <s v="northeast"/>
    <n v="9500.5730500000009"/>
  </r>
  <r>
    <n v="52"/>
    <x v="1"/>
    <n v="36.765000000000001"/>
    <n v="2"/>
    <s v="no"/>
    <s v="northwest"/>
    <n v="26467.09737"/>
  </r>
  <r>
    <n v="35"/>
    <x v="1"/>
    <n v="27.1"/>
    <n v="1"/>
    <s v="no"/>
    <s v="southwest"/>
    <n v="4746.3440000000001"/>
  </r>
  <r>
    <n v="51"/>
    <x v="1"/>
    <n v="24.795000000000002"/>
    <n v="2"/>
    <s v="yes"/>
    <s v="northwest"/>
    <n v="23967.38305"/>
  </r>
  <r>
    <n v="44"/>
    <x v="1"/>
    <n v="25.364999999999998"/>
    <n v="1"/>
    <s v="no"/>
    <s v="northwest"/>
    <n v="7518.0253499999999"/>
  </r>
  <r>
    <n v="21"/>
    <x v="1"/>
    <n v="25.745000000000001"/>
    <n v="2"/>
    <s v="no"/>
    <s v="northeast"/>
    <n v="3279.8685500000001"/>
  </r>
  <r>
    <n v="39"/>
    <x v="0"/>
    <n v="34.32"/>
    <n v="5"/>
    <s v="no"/>
    <s v="southeast"/>
    <n v="8596.8277999999991"/>
  </r>
  <r>
    <n v="50"/>
    <x v="0"/>
    <n v="28.16"/>
    <n v="3"/>
    <s v="no"/>
    <s v="southeast"/>
    <n v="10702.642400000001"/>
  </r>
  <r>
    <n v="34"/>
    <x v="0"/>
    <n v="23.56"/>
    <n v="0"/>
    <s v="no"/>
    <s v="northeast"/>
    <n v="4992.3764000000001"/>
  </r>
  <r>
    <n v="22"/>
    <x v="0"/>
    <n v="20.234999999999999"/>
    <n v="0"/>
    <s v="no"/>
    <s v="northwest"/>
    <n v="2527.8186500000002"/>
  </r>
  <r>
    <n v="19"/>
    <x v="0"/>
    <n v="40.5"/>
    <n v="0"/>
    <s v="no"/>
    <s v="southwest"/>
    <n v="1759.338"/>
  </r>
  <r>
    <n v="26"/>
    <x v="1"/>
    <n v="35.42"/>
    <n v="0"/>
    <s v="no"/>
    <s v="southeast"/>
    <n v="2322.6217999999999"/>
  </r>
  <r>
    <n v="29"/>
    <x v="1"/>
    <n v="22.895"/>
    <n v="0"/>
    <s v="yes"/>
    <s v="northeast"/>
    <n v="16138.762049999999"/>
  </r>
  <r>
    <n v="48"/>
    <x v="1"/>
    <n v="40.15"/>
    <n v="0"/>
    <s v="no"/>
    <s v="southeast"/>
    <n v="7804.1605"/>
  </r>
  <r>
    <n v="26"/>
    <x v="1"/>
    <n v="29.15"/>
    <n v="1"/>
    <s v="no"/>
    <s v="southeast"/>
    <n v="2902.9065000000001"/>
  </r>
  <r>
    <n v="45"/>
    <x v="0"/>
    <n v="39.994999999999997"/>
    <n v="3"/>
    <s v="no"/>
    <s v="northeast"/>
    <n v="9704.6680500000002"/>
  </r>
  <r>
    <n v="36"/>
    <x v="0"/>
    <n v="29.92"/>
    <n v="0"/>
    <s v="no"/>
    <s v="southeast"/>
    <n v="4889.0367999999999"/>
  </r>
  <r>
    <n v="54"/>
    <x v="1"/>
    <n v="25.46"/>
    <n v="1"/>
    <s v="no"/>
    <s v="northeast"/>
    <n v="25517.11363"/>
  </r>
  <r>
    <n v="34"/>
    <x v="1"/>
    <n v="21.375"/>
    <n v="0"/>
    <s v="no"/>
    <s v="northeast"/>
    <n v="4500.33925"/>
  </r>
  <r>
    <n v="31"/>
    <x v="1"/>
    <n v="25.9"/>
    <n v="3"/>
    <s v="yes"/>
    <s v="southwest"/>
    <n v="19199.944"/>
  </r>
  <r>
    <n v="27"/>
    <x v="0"/>
    <n v="30.59"/>
    <n v="1"/>
    <s v="no"/>
    <s v="northeast"/>
    <n v="16796.411940000002"/>
  </r>
  <r>
    <n v="20"/>
    <x v="1"/>
    <n v="30.114999999999998"/>
    <n v="5"/>
    <s v="no"/>
    <s v="northeast"/>
    <n v="4915.0598499999996"/>
  </r>
  <r>
    <n v="44"/>
    <x v="0"/>
    <n v="25.8"/>
    <n v="1"/>
    <s v="no"/>
    <s v="southwest"/>
    <n v="7624.63"/>
  </r>
  <r>
    <n v="43"/>
    <x v="1"/>
    <n v="30.114999999999998"/>
    <n v="3"/>
    <s v="no"/>
    <s v="northwest"/>
    <n v="8410.0468500000006"/>
  </r>
  <r>
    <n v="45"/>
    <x v="0"/>
    <n v="27.645"/>
    <n v="1"/>
    <s v="no"/>
    <s v="northwest"/>
    <n v="28340.188849999999"/>
  </r>
  <r>
    <n v="34"/>
    <x v="1"/>
    <n v="34.674999999999997"/>
    <n v="0"/>
    <s v="no"/>
    <s v="northeast"/>
    <n v="4518.8262500000001"/>
  </r>
  <r>
    <n v="24"/>
    <x v="0"/>
    <n v="20.52"/>
    <n v="0"/>
    <s v="yes"/>
    <s v="northeast"/>
    <n v="14571.890799999999"/>
  </r>
  <r>
    <n v="26"/>
    <x v="0"/>
    <n v="19.8"/>
    <n v="1"/>
    <s v="no"/>
    <s v="southwest"/>
    <n v="3378.91"/>
  </r>
  <r>
    <n v="38"/>
    <x v="0"/>
    <n v="27.835000000000001"/>
    <n v="2"/>
    <s v="no"/>
    <s v="northeast"/>
    <n v="7144.86265"/>
  </r>
  <r>
    <n v="50"/>
    <x v="0"/>
    <n v="31.6"/>
    <n v="2"/>
    <s v="no"/>
    <s v="southwest"/>
    <n v="10118.424000000001"/>
  </r>
  <r>
    <n v="38"/>
    <x v="1"/>
    <n v="28.27"/>
    <n v="1"/>
    <s v="no"/>
    <s v="southeast"/>
    <n v="5484.4673000000003"/>
  </r>
  <r>
    <n v="27"/>
    <x v="0"/>
    <n v="20.045000000000002"/>
    <n v="3"/>
    <s v="yes"/>
    <s v="northwest"/>
    <n v="16420.494549999999"/>
  </r>
  <r>
    <n v="39"/>
    <x v="0"/>
    <n v="23.274999999999999"/>
    <n v="3"/>
    <s v="no"/>
    <s v="northeast"/>
    <n v="7986.4752500000004"/>
  </r>
  <r>
    <n v="39"/>
    <x v="0"/>
    <n v="34.1"/>
    <n v="3"/>
    <s v="no"/>
    <s v="southwest"/>
    <n v="7418.5219999999999"/>
  </r>
  <r>
    <n v="63"/>
    <x v="0"/>
    <n v="36.85"/>
    <n v="0"/>
    <s v="no"/>
    <s v="southeast"/>
    <n v="13887.968500000001"/>
  </r>
  <r>
    <n v="33"/>
    <x v="0"/>
    <n v="36.29"/>
    <n v="3"/>
    <s v="no"/>
    <s v="northeast"/>
    <n v="6551.7501000000002"/>
  </r>
  <r>
    <n v="36"/>
    <x v="0"/>
    <n v="26.885000000000002"/>
    <n v="0"/>
    <s v="no"/>
    <s v="northwest"/>
    <n v="5267.8181500000001"/>
  </r>
  <r>
    <n v="30"/>
    <x v="1"/>
    <n v="22.99"/>
    <n v="2"/>
    <s v="yes"/>
    <s v="northwest"/>
    <n v="17361.766100000001"/>
  </r>
  <r>
    <n v="24"/>
    <x v="1"/>
    <n v="32.700000000000003"/>
    <n v="0"/>
    <s v="yes"/>
    <s v="southwest"/>
    <n v="34472.841"/>
  </r>
  <r>
    <n v="24"/>
    <x v="1"/>
    <n v="25.8"/>
    <n v="0"/>
    <s v="no"/>
    <s v="southwest"/>
    <n v="1972.95"/>
  </r>
  <r>
    <n v="48"/>
    <x v="1"/>
    <n v="29.6"/>
    <n v="0"/>
    <s v="no"/>
    <s v="southwest"/>
    <n v="21232.182260000001"/>
  </r>
  <r>
    <n v="47"/>
    <x v="1"/>
    <n v="19.190000000000001"/>
    <n v="1"/>
    <s v="no"/>
    <s v="northeast"/>
    <n v="8627.5411000000004"/>
  </r>
  <r>
    <n v="29"/>
    <x v="1"/>
    <n v="31.73"/>
    <n v="2"/>
    <s v="no"/>
    <s v="northwest"/>
    <n v="4433.3877000000002"/>
  </r>
  <r>
    <n v="28"/>
    <x v="1"/>
    <n v="29.26"/>
    <n v="2"/>
    <s v="no"/>
    <s v="northeast"/>
    <n v="4438.2633999999998"/>
  </r>
  <r>
    <n v="47"/>
    <x v="1"/>
    <n v="28.215"/>
    <n v="3"/>
    <s v="yes"/>
    <s v="northwest"/>
    <n v="24915.220850000002"/>
  </r>
  <r>
    <n v="25"/>
    <x v="1"/>
    <n v="24.984999999999999"/>
    <n v="2"/>
    <s v="no"/>
    <s v="northeast"/>
    <n v="23241.47453"/>
  </r>
  <r>
    <n v="51"/>
    <x v="1"/>
    <n v="27.74"/>
    <n v="1"/>
    <s v="no"/>
    <s v="northeast"/>
    <n v="9957.7216000000008"/>
  </r>
  <r>
    <n v="48"/>
    <x v="0"/>
    <n v="22.8"/>
    <n v="0"/>
    <s v="no"/>
    <s v="southwest"/>
    <n v="8269.0439999999999"/>
  </r>
  <r>
    <n v="43"/>
    <x v="1"/>
    <n v="20.13"/>
    <n v="2"/>
    <s v="yes"/>
    <s v="southeast"/>
    <n v="18767.737700000001"/>
  </r>
  <r>
    <n v="61"/>
    <x v="0"/>
    <n v="33.33"/>
    <n v="4"/>
    <s v="no"/>
    <s v="southeast"/>
    <n v="36580.282160000002"/>
  </r>
  <r>
    <n v="48"/>
    <x v="1"/>
    <n v="32.299999999999997"/>
    <n v="1"/>
    <s v="no"/>
    <s v="northwest"/>
    <n v="8765.2489999999998"/>
  </r>
  <r>
    <n v="38"/>
    <x v="0"/>
    <n v="27.6"/>
    <n v="0"/>
    <s v="no"/>
    <s v="southwest"/>
    <n v="5383.5360000000001"/>
  </r>
  <r>
    <n v="59"/>
    <x v="1"/>
    <n v="25.46"/>
    <n v="0"/>
    <s v="no"/>
    <s v="northwest"/>
    <n v="12124.992399999999"/>
  </r>
  <r>
    <n v="19"/>
    <x v="0"/>
    <n v="24.605"/>
    <n v="1"/>
    <s v="no"/>
    <s v="northwest"/>
    <n v="2709.24395"/>
  </r>
  <r>
    <n v="26"/>
    <x v="0"/>
    <n v="34.200000000000003"/>
    <n v="2"/>
    <s v="no"/>
    <s v="southwest"/>
    <n v="3987.9259999999999"/>
  </r>
  <r>
    <n v="54"/>
    <x v="0"/>
    <n v="35.814999999999998"/>
    <n v="3"/>
    <s v="no"/>
    <s v="northwest"/>
    <n v="12495.290849999999"/>
  </r>
  <r>
    <n v="21"/>
    <x v="0"/>
    <n v="32.68"/>
    <n v="2"/>
    <s v="no"/>
    <s v="northwest"/>
    <n v="26018.950519999999"/>
  </r>
  <r>
    <n v="51"/>
    <x v="1"/>
    <n v="37"/>
    <n v="0"/>
    <s v="no"/>
    <s v="southwest"/>
    <n v="8798.5930000000008"/>
  </r>
  <r>
    <n v="22"/>
    <x v="0"/>
    <n v="31.02"/>
    <n v="3"/>
    <s v="yes"/>
    <s v="southeast"/>
    <n v="35595.589800000002"/>
  </r>
  <r>
    <n v="47"/>
    <x v="1"/>
    <n v="36.08"/>
    <n v="1"/>
    <s v="yes"/>
    <s v="southeast"/>
    <n v="42211.138200000001"/>
  </r>
  <r>
    <n v="18"/>
    <x v="1"/>
    <n v="23.32"/>
    <n v="1"/>
    <s v="no"/>
    <s v="southeast"/>
    <n v="1711.0268000000001"/>
  </r>
  <r>
    <n v="47"/>
    <x v="0"/>
    <n v="45.32"/>
    <n v="1"/>
    <s v="no"/>
    <s v="southeast"/>
    <n v="8569.8618000000006"/>
  </r>
  <r>
    <n v="21"/>
    <x v="0"/>
    <n v="34.6"/>
    <n v="0"/>
    <s v="no"/>
    <s v="southwest"/>
    <n v="2020.1769999999999"/>
  </r>
  <r>
    <n v="19"/>
    <x v="1"/>
    <n v="26.03"/>
    <n v="1"/>
    <s v="yes"/>
    <s v="northwest"/>
    <n v="16450.894700000001"/>
  </r>
  <r>
    <n v="23"/>
    <x v="1"/>
    <n v="18.715"/>
    <n v="0"/>
    <s v="no"/>
    <s v="northwest"/>
    <n v="21595.382290000001"/>
  </r>
  <r>
    <n v="54"/>
    <x v="1"/>
    <n v="31.6"/>
    <n v="0"/>
    <s v="no"/>
    <s v="southwest"/>
    <n v="9850.4320000000007"/>
  </r>
  <r>
    <n v="37"/>
    <x v="0"/>
    <n v="17.29"/>
    <n v="2"/>
    <s v="no"/>
    <s v="northeast"/>
    <n v="6877.9800999999998"/>
  </r>
  <r>
    <n v="46"/>
    <x v="0"/>
    <n v="23.655000000000001"/>
    <n v="1"/>
    <s v="yes"/>
    <s v="northwest"/>
    <n v="21677.283449999999"/>
  </r>
  <r>
    <n v="55"/>
    <x v="0"/>
    <n v="35.200000000000003"/>
    <n v="0"/>
    <s v="yes"/>
    <s v="southeast"/>
    <n v="44423.803"/>
  </r>
  <r>
    <n v="30"/>
    <x v="0"/>
    <n v="27.93"/>
    <n v="0"/>
    <s v="no"/>
    <s v="northeast"/>
    <n v="4137.5227000000004"/>
  </r>
  <r>
    <n v="18"/>
    <x v="1"/>
    <n v="21.565000000000001"/>
    <n v="0"/>
    <s v="yes"/>
    <s v="northeast"/>
    <n v="13747.87235"/>
  </r>
  <r>
    <n v="61"/>
    <x v="1"/>
    <n v="38.380000000000003"/>
    <n v="0"/>
    <s v="no"/>
    <s v="northwest"/>
    <n v="12950.0712"/>
  </r>
  <r>
    <n v="54"/>
    <x v="0"/>
    <n v="23"/>
    <n v="3"/>
    <s v="no"/>
    <s v="southwest"/>
    <n v="12094.477999999999"/>
  </r>
  <r>
    <n v="22"/>
    <x v="1"/>
    <n v="37.07"/>
    <n v="2"/>
    <s v="yes"/>
    <s v="southeast"/>
    <n v="37484.4493"/>
  </r>
  <r>
    <n v="45"/>
    <x v="0"/>
    <n v="30.495000000000001"/>
    <n v="1"/>
    <s v="yes"/>
    <s v="northwest"/>
    <n v="39725.518049999999"/>
  </r>
  <r>
    <n v="22"/>
    <x v="1"/>
    <n v="28.88"/>
    <n v="0"/>
    <s v="no"/>
    <s v="northeast"/>
    <n v="2250.8352"/>
  </r>
  <r>
    <n v="19"/>
    <x v="1"/>
    <n v="27.265000000000001"/>
    <n v="2"/>
    <s v="no"/>
    <s v="northwest"/>
    <n v="22493.659640000002"/>
  </r>
  <r>
    <n v="35"/>
    <x v="0"/>
    <n v="28.024999999999999"/>
    <n v="0"/>
    <s v="yes"/>
    <s v="northwest"/>
    <n v="20234.854749999999"/>
  </r>
  <r>
    <n v="18"/>
    <x v="1"/>
    <n v="23.085000000000001"/>
    <n v="0"/>
    <s v="no"/>
    <s v="northeast"/>
    <n v="1704.7001499999999"/>
  </r>
  <r>
    <n v="20"/>
    <x v="1"/>
    <n v="30.684999999999999"/>
    <n v="0"/>
    <s v="yes"/>
    <s v="northeast"/>
    <n v="33475.817150000003"/>
  </r>
  <r>
    <n v="28"/>
    <x v="0"/>
    <n v="25.8"/>
    <n v="0"/>
    <s v="no"/>
    <s v="southwest"/>
    <n v="3161.4540000000002"/>
  </r>
  <r>
    <n v="55"/>
    <x v="1"/>
    <n v="35.244999999999997"/>
    <n v="1"/>
    <s v="no"/>
    <s v="northeast"/>
    <n v="11394.065549999999"/>
  </r>
  <r>
    <n v="43"/>
    <x v="0"/>
    <n v="24.7"/>
    <n v="2"/>
    <s v="yes"/>
    <s v="northwest"/>
    <n v="21880.82"/>
  </r>
  <r>
    <n v="43"/>
    <x v="0"/>
    <n v="25.08"/>
    <n v="0"/>
    <s v="no"/>
    <s v="northeast"/>
    <n v="7325.0482000000002"/>
  </r>
  <r>
    <n v="22"/>
    <x v="1"/>
    <n v="52.58"/>
    <n v="1"/>
    <s v="yes"/>
    <s v="southeast"/>
    <n v="44501.398200000003"/>
  </r>
  <r>
    <n v="25"/>
    <x v="0"/>
    <n v="22.515000000000001"/>
    <n v="1"/>
    <s v="no"/>
    <s v="northwest"/>
    <n v="3594.17085"/>
  </r>
  <r>
    <n v="49"/>
    <x v="1"/>
    <n v="30.9"/>
    <n v="0"/>
    <s v="yes"/>
    <s v="southwest"/>
    <n v="39727.614000000001"/>
  </r>
  <r>
    <n v="44"/>
    <x v="0"/>
    <n v="36.954999999999998"/>
    <n v="1"/>
    <s v="no"/>
    <s v="northwest"/>
    <n v="8023.1354499999998"/>
  </r>
  <r>
    <n v="64"/>
    <x v="1"/>
    <n v="26.41"/>
    <n v="0"/>
    <s v="no"/>
    <s v="northeast"/>
    <n v="14394.5579"/>
  </r>
  <r>
    <n v="49"/>
    <x v="1"/>
    <n v="29.83"/>
    <n v="1"/>
    <s v="no"/>
    <s v="northeast"/>
    <n v="9288.0267000000003"/>
  </r>
  <r>
    <n v="47"/>
    <x v="1"/>
    <n v="29.8"/>
    <n v="3"/>
    <s v="yes"/>
    <s v="southwest"/>
    <n v="25309.489000000001"/>
  </r>
  <r>
    <n v="27"/>
    <x v="0"/>
    <n v="21.47"/>
    <n v="0"/>
    <s v="no"/>
    <s v="northwest"/>
    <n v="3353.4703"/>
  </r>
  <r>
    <n v="55"/>
    <x v="1"/>
    <n v="27.645"/>
    <n v="0"/>
    <s v="no"/>
    <s v="northwest"/>
    <n v="10594.501550000001"/>
  </r>
  <r>
    <n v="48"/>
    <x v="0"/>
    <n v="28.9"/>
    <n v="0"/>
    <s v="no"/>
    <s v="southwest"/>
    <n v="8277.5229999999992"/>
  </r>
  <r>
    <n v="45"/>
    <x v="0"/>
    <n v="31.79"/>
    <n v="0"/>
    <s v="no"/>
    <s v="southeast"/>
    <n v="17929.303370000001"/>
  </r>
  <r>
    <n v="24"/>
    <x v="0"/>
    <n v="39.49"/>
    <n v="0"/>
    <s v="no"/>
    <s v="southeast"/>
    <n v="2480.9791"/>
  </r>
  <r>
    <n v="32"/>
    <x v="1"/>
    <n v="33.82"/>
    <n v="1"/>
    <s v="no"/>
    <s v="northwest"/>
    <n v="4462.7218000000003"/>
  </r>
  <r>
    <n v="24"/>
    <x v="1"/>
    <n v="32.01"/>
    <n v="0"/>
    <s v="no"/>
    <s v="southeast"/>
    <n v="1981.5818999999999"/>
  </r>
  <r>
    <n v="57"/>
    <x v="1"/>
    <n v="27.94"/>
    <n v="1"/>
    <s v="no"/>
    <s v="southeast"/>
    <n v="11554.223599999999"/>
  </r>
  <r>
    <n v="59"/>
    <x v="1"/>
    <n v="41.14"/>
    <n v="1"/>
    <s v="yes"/>
    <s v="southeast"/>
    <n v="48970.247600000002"/>
  </r>
  <r>
    <n v="36"/>
    <x v="1"/>
    <n v="28.594999999999999"/>
    <n v="3"/>
    <s v="no"/>
    <s v="northwest"/>
    <n v="6548.1950500000003"/>
  </r>
  <r>
    <n v="29"/>
    <x v="0"/>
    <n v="25.6"/>
    <n v="4"/>
    <s v="no"/>
    <s v="southwest"/>
    <n v="5708.8670000000002"/>
  </r>
  <r>
    <n v="42"/>
    <x v="0"/>
    <n v="25.3"/>
    <n v="1"/>
    <s v="no"/>
    <s v="southwest"/>
    <n v="7045.4989999999998"/>
  </r>
  <r>
    <n v="48"/>
    <x v="1"/>
    <n v="37.29"/>
    <n v="2"/>
    <s v="no"/>
    <s v="southeast"/>
    <n v="8978.1851000000006"/>
  </r>
  <r>
    <n v="39"/>
    <x v="1"/>
    <n v="42.655000000000001"/>
    <n v="0"/>
    <s v="no"/>
    <s v="northeast"/>
    <n v="5757.41345"/>
  </r>
  <r>
    <n v="63"/>
    <x v="1"/>
    <n v="21.66"/>
    <n v="1"/>
    <s v="no"/>
    <s v="northwest"/>
    <n v="14349.8544"/>
  </r>
  <r>
    <n v="54"/>
    <x v="0"/>
    <n v="31.9"/>
    <n v="1"/>
    <s v="no"/>
    <s v="southeast"/>
    <n v="10928.849"/>
  </r>
  <r>
    <n v="37"/>
    <x v="1"/>
    <n v="37.07"/>
    <n v="1"/>
    <s v="yes"/>
    <s v="southeast"/>
    <n v="39871.704299999998"/>
  </r>
  <r>
    <n v="63"/>
    <x v="1"/>
    <n v="31.445"/>
    <n v="0"/>
    <s v="no"/>
    <s v="northeast"/>
    <n v="13974.455550000001"/>
  </r>
  <r>
    <n v="21"/>
    <x v="1"/>
    <n v="31.254999999999999"/>
    <n v="0"/>
    <s v="no"/>
    <s v="northwest"/>
    <n v="1909.52745"/>
  </r>
  <r>
    <n v="54"/>
    <x v="0"/>
    <n v="28.88"/>
    <n v="2"/>
    <s v="no"/>
    <s v="northeast"/>
    <n v="12096.6512"/>
  </r>
  <r>
    <n v="60"/>
    <x v="0"/>
    <n v="18.335000000000001"/>
    <n v="0"/>
    <s v="no"/>
    <s v="northeast"/>
    <n v="13204.28565"/>
  </r>
  <r>
    <n v="32"/>
    <x v="0"/>
    <n v="29.59"/>
    <n v="1"/>
    <s v="no"/>
    <s v="southeast"/>
    <n v="4562.8420999999998"/>
  </r>
  <r>
    <n v="47"/>
    <x v="0"/>
    <n v="32"/>
    <n v="1"/>
    <s v="no"/>
    <s v="southwest"/>
    <n v="8551.3469999999998"/>
  </r>
  <r>
    <n v="21"/>
    <x v="1"/>
    <n v="26.03"/>
    <n v="0"/>
    <s v="no"/>
    <s v="northeast"/>
    <n v="2102.2647000000002"/>
  </r>
  <r>
    <n v="28"/>
    <x v="1"/>
    <n v="31.68"/>
    <n v="0"/>
    <s v="yes"/>
    <s v="southeast"/>
    <n v="34672.147199999999"/>
  </r>
  <r>
    <n v="63"/>
    <x v="1"/>
    <n v="33.659999999999997"/>
    <n v="3"/>
    <s v="no"/>
    <s v="southeast"/>
    <n v="15161.5344"/>
  </r>
  <r>
    <n v="18"/>
    <x v="1"/>
    <n v="21.78"/>
    <n v="2"/>
    <s v="no"/>
    <s v="southeast"/>
    <n v="11884.048580000001"/>
  </r>
  <r>
    <n v="32"/>
    <x v="1"/>
    <n v="27.835000000000001"/>
    <n v="1"/>
    <s v="no"/>
    <s v="northwest"/>
    <n v="4454.40265"/>
  </r>
  <r>
    <n v="38"/>
    <x v="1"/>
    <n v="19.95"/>
    <n v="1"/>
    <s v="no"/>
    <s v="northwest"/>
    <n v="5855.9025000000001"/>
  </r>
  <r>
    <n v="32"/>
    <x v="1"/>
    <n v="31.5"/>
    <n v="1"/>
    <s v="no"/>
    <s v="southwest"/>
    <n v="4076.4969999999998"/>
  </r>
  <r>
    <n v="62"/>
    <x v="0"/>
    <n v="30.495000000000001"/>
    <n v="2"/>
    <s v="no"/>
    <s v="northwest"/>
    <n v="15019.760050000001"/>
  </r>
  <r>
    <n v="39"/>
    <x v="0"/>
    <n v="18.3"/>
    <n v="5"/>
    <s v="yes"/>
    <s v="southwest"/>
    <n v="19023.259999999998"/>
  </r>
  <r>
    <n v="55"/>
    <x v="1"/>
    <n v="28.975000000000001"/>
    <n v="0"/>
    <s v="no"/>
    <s v="northeast"/>
    <n v="10796.35025"/>
  </r>
  <r>
    <n v="57"/>
    <x v="1"/>
    <n v="31.54"/>
    <n v="0"/>
    <s v="no"/>
    <s v="northwest"/>
    <n v="11353.2276"/>
  </r>
  <r>
    <n v="52"/>
    <x v="1"/>
    <n v="47.74"/>
    <n v="1"/>
    <s v="no"/>
    <s v="southeast"/>
    <n v="9748.9105999999992"/>
  </r>
  <r>
    <n v="56"/>
    <x v="1"/>
    <n v="22.1"/>
    <n v="0"/>
    <s v="no"/>
    <s v="southwest"/>
    <n v="10577.087"/>
  </r>
  <r>
    <n v="47"/>
    <x v="1"/>
    <n v="36.19"/>
    <n v="0"/>
    <s v="yes"/>
    <s v="southeast"/>
    <n v="41676.081100000003"/>
  </r>
  <r>
    <n v="55"/>
    <x v="0"/>
    <n v="29.83"/>
    <n v="0"/>
    <s v="no"/>
    <s v="northeast"/>
    <n v="11286.538699999999"/>
  </r>
  <r>
    <n v="23"/>
    <x v="1"/>
    <n v="32.700000000000003"/>
    <n v="3"/>
    <s v="no"/>
    <s v="southwest"/>
    <n v="3591.48"/>
  </r>
  <r>
    <n v="22"/>
    <x v="0"/>
    <n v="30.4"/>
    <n v="0"/>
    <s v="yes"/>
    <s v="northwest"/>
    <n v="33907.548000000003"/>
  </r>
  <r>
    <n v="50"/>
    <x v="0"/>
    <n v="33.700000000000003"/>
    <n v="4"/>
    <s v="no"/>
    <s v="southwest"/>
    <n v="11299.343000000001"/>
  </r>
  <r>
    <n v="18"/>
    <x v="0"/>
    <n v="31.35"/>
    <n v="4"/>
    <s v="no"/>
    <s v="northeast"/>
    <n v="4561.1885000000002"/>
  </r>
  <r>
    <n v="51"/>
    <x v="0"/>
    <n v="34.96"/>
    <n v="2"/>
    <s v="yes"/>
    <s v="northeast"/>
    <n v="44641.197399999997"/>
  </r>
  <r>
    <n v="22"/>
    <x v="1"/>
    <n v="33.770000000000003"/>
    <n v="0"/>
    <s v="no"/>
    <s v="southeast"/>
    <n v="1674.6323"/>
  </r>
  <r>
    <n v="52"/>
    <x v="0"/>
    <n v="30.875"/>
    <n v="0"/>
    <s v="no"/>
    <s v="northeast"/>
    <n v="23045.566159999998"/>
  </r>
  <r>
    <n v="25"/>
    <x v="0"/>
    <n v="33.99"/>
    <n v="1"/>
    <s v="no"/>
    <s v="southeast"/>
    <n v="3227.1210999999998"/>
  </r>
  <r>
    <n v="33"/>
    <x v="0"/>
    <n v="19.094999999999999"/>
    <n v="2"/>
    <s v="yes"/>
    <s v="northeast"/>
    <n v="16776.304049999999"/>
  </r>
  <r>
    <n v="53"/>
    <x v="1"/>
    <n v="28.6"/>
    <n v="3"/>
    <s v="no"/>
    <s v="southwest"/>
    <n v="11253.421"/>
  </r>
  <r>
    <n v="29"/>
    <x v="1"/>
    <n v="38.94"/>
    <n v="1"/>
    <s v="no"/>
    <s v="southeast"/>
    <n v="3471.4096"/>
  </r>
  <r>
    <n v="58"/>
    <x v="1"/>
    <n v="36.08"/>
    <n v="0"/>
    <s v="no"/>
    <s v="southeast"/>
    <n v="11363.2832"/>
  </r>
  <r>
    <n v="37"/>
    <x v="1"/>
    <n v="29.8"/>
    <n v="0"/>
    <s v="no"/>
    <s v="southwest"/>
    <n v="20420.604650000001"/>
  </r>
  <r>
    <n v="54"/>
    <x v="0"/>
    <n v="31.24"/>
    <n v="0"/>
    <s v="no"/>
    <s v="southeast"/>
    <n v="10338.9316"/>
  </r>
  <r>
    <n v="49"/>
    <x v="0"/>
    <n v="29.925000000000001"/>
    <n v="0"/>
    <s v="no"/>
    <s v="northwest"/>
    <n v="8988.1587500000005"/>
  </r>
  <r>
    <n v="50"/>
    <x v="0"/>
    <n v="26.22"/>
    <n v="2"/>
    <s v="no"/>
    <s v="northwest"/>
    <n v="10493.9458"/>
  </r>
  <r>
    <n v="26"/>
    <x v="1"/>
    <n v="30"/>
    <n v="1"/>
    <s v="no"/>
    <s v="southwest"/>
    <n v="2904.0880000000002"/>
  </r>
  <r>
    <n v="45"/>
    <x v="1"/>
    <n v="20.350000000000001"/>
    <n v="3"/>
    <s v="no"/>
    <s v="southeast"/>
    <n v="8605.3615000000009"/>
  </r>
  <r>
    <n v="54"/>
    <x v="0"/>
    <n v="32.299999999999997"/>
    <n v="1"/>
    <s v="no"/>
    <s v="northeast"/>
    <n v="11512.405000000001"/>
  </r>
  <r>
    <n v="38"/>
    <x v="1"/>
    <n v="38.39"/>
    <n v="3"/>
    <s v="yes"/>
    <s v="southeast"/>
    <n v="41949.244100000004"/>
  </r>
  <r>
    <n v="48"/>
    <x v="0"/>
    <n v="25.85"/>
    <n v="3"/>
    <s v="yes"/>
    <s v="southeast"/>
    <n v="24180.933499999999"/>
  </r>
  <r>
    <n v="28"/>
    <x v="0"/>
    <n v="26.315000000000001"/>
    <n v="3"/>
    <s v="no"/>
    <s v="northwest"/>
    <n v="5312.1698500000002"/>
  </r>
  <r>
    <n v="23"/>
    <x v="1"/>
    <n v="24.51"/>
    <n v="0"/>
    <s v="no"/>
    <s v="northeast"/>
    <n v="2396.0958999999998"/>
  </r>
  <r>
    <n v="55"/>
    <x v="1"/>
    <n v="32.67"/>
    <n v="1"/>
    <s v="no"/>
    <s v="southeast"/>
    <n v="10807.4863"/>
  </r>
  <r>
    <n v="41"/>
    <x v="1"/>
    <n v="29.64"/>
    <n v="5"/>
    <s v="no"/>
    <s v="northeast"/>
    <n v="9222.4025999999994"/>
  </r>
  <r>
    <n v="25"/>
    <x v="1"/>
    <n v="33.33"/>
    <n v="2"/>
    <s v="yes"/>
    <s v="southeast"/>
    <n v="36124.573700000001"/>
  </r>
  <r>
    <n v="33"/>
    <x v="1"/>
    <n v="35.75"/>
    <n v="1"/>
    <s v="yes"/>
    <s v="southeast"/>
    <n v="38282.749499999998"/>
  </r>
  <r>
    <n v="30"/>
    <x v="0"/>
    <n v="19.95"/>
    <n v="3"/>
    <s v="no"/>
    <s v="northwest"/>
    <n v="5693.4305000000004"/>
  </r>
  <r>
    <n v="23"/>
    <x v="0"/>
    <n v="31.4"/>
    <n v="0"/>
    <s v="yes"/>
    <s v="southwest"/>
    <n v="34166.273000000001"/>
  </r>
  <r>
    <n v="46"/>
    <x v="1"/>
    <n v="38.17"/>
    <n v="2"/>
    <s v="no"/>
    <s v="southeast"/>
    <n v="8347.1643000000004"/>
  </r>
  <r>
    <n v="53"/>
    <x v="0"/>
    <n v="36.86"/>
    <n v="3"/>
    <s v="yes"/>
    <s v="northwest"/>
    <n v="46661.4424"/>
  </r>
  <r>
    <n v="27"/>
    <x v="0"/>
    <n v="32.395000000000003"/>
    <n v="1"/>
    <s v="no"/>
    <s v="northeast"/>
    <n v="18903.491409999999"/>
  </r>
  <r>
    <n v="23"/>
    <x v="0"/>
    <n v="42.75"/>
    <n v="1"/>
    <s v="yes"/>
    <s v="northeast"/>
    <n v="40904.199500000002"/>
  </r>
  <r>
    <n v="63"/>
    <x v="0"/>
    <n v="25.08"/>
    <n v="0"/>
    <s v="no"/>
    <s v="northwest"/>
    <n v="14254.608200000001"/>
  </r>
  <r>
    <n v="55"/>
    <x v="1"/>
    <n v="29.9"/>
    <n v="0"/>
    <s v="no"/>
    <s v="southwest"/>
    <n v="10214.636"/>
  </r>
  <r>
    <n v="35"/>
    <x v="0"/>
    <n v="35.86"/>
    <n v="2"/>
    <s v="no"/>
    <s v="southeast"/>
    <n v="5836.5204000000003"/>
  </r>
  <r>
    <n v="34"/>
    <x v="1"/>
    <n v="32.799999999999997"/>
    <n v="1"/>
    <s v="no"/>
    <s v="southwest"/>
    <n v="14358.364369999999"/>
  </r>
  <r>
    <n v="19"/>
    <x v="0"/>
    <n v="18.600000000000001"/>
    <n v="0"/>
    <s v="no"/>
    <s v="southwest"/>
    <n v="1728.8969999999999"/>
  </r>
  <r>
    <n v="39"/>
    <x v="0"/>
    <n v="23.87"/>
    <n v="5"/>
    <s v="no"/>
    <s v="southeast"/>
    <n v="8582.3022999999994"/>
  </r>
  <r>
    <n v="27"/>
    <x v="1"/>
    <n v="45.9"/>
    <n v="2"/>
    <s v="no"/>
    <s v="southwest"/>
    <n v="3693.4279999999999"/>
  </r>
  <r>
    <n v="57"/>
    <x v="1"/>
    <n v="40.28"/>
    <n v="0"/>
    <s v="no"/>
    <s v="northeast"/>
    <n v="20709.020339999999"/>
  </r>
  <r>
    <n v="52"/>
    <x v="0"/>
    <n v="18.335000000000001"/>
    <n v="0"/>
    <s v="no"/>
    <s v="northwest"/>
    <n v="9991.0376500000002"/>
  </r>
  <r>
    <n v="28"/>
    <x v="1"/>
    <n v="33.82"/>
    <n v="0"/>
    <s v="no"/>
    <s v="northwest"/>
    <n v="19673.335729999999"/>
  </r>
  <r>
    <n v="50"/>
    <x v="0"/>
    <n v="28.12"/>
    <n v="3"/>
    <s v="no"/>
    <s v="northwest"/>
    <n v="11085.586799999999"/>
  </r>
  <r>
    <n v="44"/>
    <x v="0"/>
    <n v="25"/>
    <n v="1"/>
    <s v="no"/>
    <s v="southwest"/>
    <n v="7623.518"/>
  </r>
  <r>
    <n v="26"/>
    <x v="0"/>
    <n v="22.23"/>
    <n v="0"/>
    <s v="no"/>
    <s v="northwest"/>
    <n v="3176.2876999999999"/>
  </r>
  <r>
    <n v="33"/>
    <x v="1"/>
    <n v="30.25"/>
    <n v="0"/>
    <s v="no"/>
    <s v="southeast"/>
    <n v="3704.3544999999999"/>
  </r>
  <r>
    <n v="19"/>
    <x v="0"/>
    <n v="32.49"/>
    <n v="0"/>
    <s v="yes"/>
    <s v="northwest"/>
    <n v="36898.733079999998"/>
  </r>
  <r>
    <n v="50"/>
    <x v="1"/>
    <n v="37.07"/>
    <n v="1"/>
    <s v="no"/>
    <s v="southeast"/>
    <n v="9048.0272999999997"/>
  </r>
  <r>
    <n v="41"/>
    <x v="0"/>
    <n v="32.6"/>
    <n v="3"/>
    <s v="no"/>
    <s v="southwest"/>
    <n v="7954.5169999999998"/>
  </r>
  <r>
    <n v="52"/>
    <x v="0"/>
    <n v="24.86"/>
    <n v="0"/>
    <s v="no"/>
    <s v="southeast"/>
    <n v="27117.993780000001"/>
  </r>
  <r>
    <n v="39"/>
    <x v="1"/>
    <n v="32.340000000000003"/>
    <n v="2"/>
    <s v="no"/>
    <s v="southeast"/>
    <n v="6338.0756000000001"/>
  </r>
  <r>
    <n v="50"/>
    <x v="1"/>
    <n v="32.299999999999997"/>
    <n v="2"/>
    <s v="no"/>
    <s v="southwest"/>
    <n v="9630.3970000000008"/>
  </r>
  <r>
    <n v="52"/>
    <x v="1"/>
    <n v="32.774999999999999"/>
    <n v="3"/>
    <s v="no"/>
    <s v="northwest"/>
    <n v="11289.10925"/>
  </r>
  <r>
    <n v="60"/>
    <x v="1"/>
    <n v="32.799999999999997"/>
    <n v="0"/>
    <s v="yes"/>
    <s v="southwest"/>
    <n v="52590.829389999999"/>
  </r>
  <r>
    <n v="20"/>
    <x v="0"/>
    <n v="31.92"/>
    <n v="0"/>
    <s v="no"/>
    <s v="northwest"/>
    <n v="2261.5688"/>
  </r>
  <r>
    <n v="55"/>
    <x v="1"/>
    <n v="21.5"/>
    <n v="1"/>
    <s v="no"/>
    <s v="southwest"/>
    <n v="10791.96"/>
  </r>
  <r>
    <n v="42"/>
    <x v="1"/>
    <n v="34.1"/>
    <n v="0"/>
    <s v="no"/>
    <s v="southwest"/>
    <n v="5979.7309999999998"/>
  </r>
  <r>
    <n v="18"/>
    <x v="0"/>
    <n v="30.305"/>
    <n v="0"/>
    <s v="no"/>
    <s v="northeast"/>
    <n v="2203.7359499999998"/>
  </r>
  <r>
    <n v="58"/>
    <x v="0"/>
    <n v="36.479999999999997"/>
    <n v="0"/>
    <s v="no"/>
    <s v="northwest"/>
    <n v="12235.8392"/>
  </r>
  <r>
    <n v="43"/>
    <x v="0"/>
    <n v="32.56"/>
    <n v="3"/>
    <s v="yes"/>
    <s v="southeast"/>
    <n v="40941.285400000001"/>
  </r>
  <r>
    <n v="35"/>
    <x v="0"/>
    <n v="35.814999999999998"/>
    <n v="1"/>
    <s v="no"/>
    <s v="northwest"/>
    <n v="5630.4578499999998"/>
  </r>
  <r>
    <n v="48"/>
    <x v="0"/>
    <n v="27.93"/>
    <n v="4"/>
    <s v="no"/>
    <s v="northwest"/>
    <n v="11015.1747"/>
  </r>
  <r>
    <n v="36"/>
    <x v="0"/>
    <n v="22.135000000000002"/>
    <n v="3"/>
    <s v="no"/>
    <s v="northeast"/>
    <n v="7228.2156500000001"/>
  </r>
  <r>
    <n v="19"/>
    <x v="1"/>
    <n v="44.88"/>
    <n v="0"/>
    <s v="yes"/>
    <s v="southeast"/>
    <n v="39722.746200000001"/>
  </r>
  <r>
    <n v="23"/>
    <x v="0"/>
    <n v="23.18"/>
    <n v="2"/>
    <s v="no"/>
    <s v="northwest"/>
    <n v="14426.073850000001"/>
  </r>
  <r>
    <n v="20"/>
    <x v="0"/>
    <n v="30.59"/>
    <n v="0"/>
    <s v="no"/>
    <s v="northeast"/>
    <n v="2459.7201"/>
  </r>
  <r>
    <n v="32"/>
    <x v="0"/>
    <n v="41.1"/>
    <n v="0"/>
    <s v="no"/>
    <s v="southwest"/>
    <n v="3989.8409999999999"/>
  </r>
  <r>
    <n v="43"/>
    <x v="0"/>
    <n v="34.58"/>
    <n v="1"/>
    <s v="no"/>
    <s v="northwest"/>
    <n v="7727.2532000000001"/>
  </r>
  <r>
    <n v="34"/>
    <x v="1"/>
    <n v="42.13"/>
    <n v="2"/>
    <s v="no"/>
    <s v="southeast"/>
    <n v="5124.1886999999997"/>
  </r>
  <r>
    <n v="30"/>
    <x v="1"/>
    <n v="38.83"/>
    <n v="1"/>
    <s v="no"/>
    <s v="southeast"/>
    <n v="18963.171920000001"/>
  </r>
  <r>
    <n v="18"/>
    <x v="0"/>
    <n v="28.215"/>
    <n v="0"/>
    <s v="no"/>
    <s v="northeast"/>
    <n v="2200.8308499999998"/>
  </r>
  <r>
    <n v="41"/>
    <x v="0"/>
    <n v="28.31"/>
    <n v="1"/>
    <s v="no"/>
    <s v="northwest"/>
    <n v="7153.5538999999999"/>
  </r>
  <r>
    <n v="35"/>
    <x v="0"/>
    <n v="26.125"/>
    <n v="0"/>
    <s v="no"/>
    <s v="northeast"/>
    <n v="5227.9887500000004"/>
  </r>
  <r>
    <n v="57"/>
    <x v="1"/>
    <n v="40.369999999999997"/>
    <n v="0"/>
    <s v="no"/>
    <s v="southeast"/>
    <n v="10982.5013"/>
  </r>
  <r>
    <n v="29"/>
    <x v="0"/>
    <n v="24.6"/>
    <n v="2"/>
    <s v="no"/>
    <s v="southwest"/>
    <n v="4529.4769999999999"/>
  </r>
  <r>
    <n v="32"/>
    <x v="1"/>
    <n v="35.200000000000003"/>
    <n v="2"/>
    <s v="no"/>
    <s v="southwest"/>
    <n v="4670.6400000000003"/>
  </r>
  <r>
    <n v="37"/>
    <x v="0"/>
    <n v="34.104999999999997"/>
    <n v="1"/>
    <s v="no"/>
    <s v="northwest"/>
    <n v="6112.3529500000004"/>
  </r>
  <r>
    <n v="18"/>
    <x v="1"/>
    <n v="27.36"/>
    <n v="1"/>
    <s v="yes"/>
    <s v="northeast"/>
    <n v="17178.682400000002"/>
  </r>
  <r>
    <n v="43"/>
    <x v="0"/>
    <n v="26.7"/>
    <n v="2"/>
    <s v="yes"/>
    <s v="southwest"/>
    <n v="22478.6"/>
  </r>
  <r>
    <n v="56"/>
    <x v="0"/>
    <n v="41.91"/>
    <n v="0"/>
    <s v="no"/>
    <s v="southeast"/>
    <n v="11093.6229"/>
  </r>
  <r>
    <n v="38"/>
    <x v="1"/>
    <n v="29.26"/>
    <n v="2"/>
    <s v="no"/>
    <s v="northwest"/>
    <n v="6457.8433999999997"/>
  </r>
  <r>
    <n v="29"/>
    <x v="1"/>
    <n v="32.11"/>
    <n v="2"/>
    <s v="no"/>
    <s v="northwest"/>
    <n v="4433.9159"/>
  </r>
  <r>
    <n v="22"/>
    <x v="0"/>
    <n v="27.1"/>
    <n v="0"/>
    <s v="no"/>
    <s v="southwest"/>
    <n v="2154.3609999999999"/>
  </r>
  <r>
    <n v="52"/>
    <x v="0"/>
    <n v="24.13"/>
    <n v="1"/>
    <s v="yes"/>
    <s v="northwest"/>
    <n v="23887.662700000001"/>
  </r>
  <r>
    <n v="40"/>
    <x v="0"/>
    <n v="27.4"/>
    <n v="1"/>
    <s v="no"/>
    <s v="southwest"/>
    <n v="6496.8860000000004"/>
  </r>
  <r>
    <n v="23"/>
    <x v="0"/>
    <n v="34.865000000000002"/>
    <n v="0"/>
    <s v="no"/>
    <s v="northeast"/>
    <n v="2899.4893499999998"/>
  </r>
  <r>
    <n v="31"/>
    <x v="1"/>
    <n v="29.81"/>
    <n v="0"/>
    <s v="yes"/>
    <s v="southeast"/>
    <n v="19350.368900000001"/>
  </r>
  <r>
    <n v="42"/>
    <x v="0"/>
    <n v="41.325000000000003"/>
    <n v="1"/>
    <s v="no"/>
    <s v="northeast"/>
    <n v="7650.7737500000003"/>
  </r>
  <r>
    <n v="24"/>
    <x v="0"/>
    <n v="29.925000000000001"/>
    <n v="0"/>
    <s v="no"/>
    <s v="northwest"/>
    <n v="2850.6837500000001"/>
  </r>
  <r>
    <n v="25"/>
    <x v="0"/>
    <n v="30.3"/>
    <n v="0"/>
    <s v="no"/>
    <s v="southwest"/>
    <n v="2632.9920000000002"/>
  </r>
  <r>
    <n v="48"/>
    <x v="0"/>
    <n v="27.36"/>
    <n v="1"/>
    <s v="no"/>
    <s v="northeast"/>
    <n v="9447.3824000000004"/>
  </r>
  <r>
    <n v="23"/>
    <x v="0"/>
    <n v="28.49"/>
    <n v="1"/>
    <s v="yes"/>
    <s v="southeast"/>
    <n v="18328.238099999999"/>
  </r>
  <r>
    <n v="45"/>
    <x v="1"/>
    <n v="23.56"/>
    <n v="2"/>
    <s v="no"/>
    <s v="northeast"/>
    <n v="8603.8233999999993"/>
  </r>
  <r>
    <n v="20"/>
    <x v="1"/>
    <n v="35.625"/>
    <n v="3"/>
    <s v="yes"/>
    <s v="northwest"/>
    <n v="37465.34375"/>
  </r>
  <r>
    <n v="62"/>
    <x v="0"/>
    <n v="32.68"/>
    <n v="0"/>
    <s v="no"/>
    <s v="northwest"/>
    <n v="13844.797200000001"/>
  </r>
  <r>
    <n v="43"/>
    <x v="0"/>
    <n v="25.27"/>
    <n v="1"/>
    <s v="yes"/>
    <s v="northeast"/>
    <n v="21771.3423"/>
  </r>
  <r>
    <n v="23"/>
    <x v="0"/>
    <n v="28"/>
    <n v="0"/>
    <s v="no"/>
    <s v="southwest"/>
    <n v="13126.677449999999"/>
  </r>
  <r>
    <n v="31"/>
    <x v="0"/>
    <n v="32.774999999999999"/>
    <n v="2"/>
    <s v="no"/>
    <s v="northwest"/>
    <n v="5327.4002499999997"/>
  </r>
  <r>
    <n v="41"/>
    <x v="0"/>
    <n v="21.754999999999999"/>
    <n v="1"/>
    <s v="no"/>
    <s v="northeast"/>
    <n v="13725.47184"/>
  </r>
  <r>
    <n v="58"/>
    <x v="0"/>
    <n v="32.395000000000003"/>
    <n v="1"/>
    <s v="no"/>
    <s v="northeast"/>
    <n v="13019.161050000001"/>
  </r>
  <r>
    <n v="48"/>
    <x v="0"/>
    <n v="36.575000000000003"/>
    <n v="0"/>
    <s v="no"/>
    <s v="northwest"/>
    <n v="8671.1912499999999"/>
  </r>
  <r>
    <n v="31"/>
    <x v="0"/>
    <n v="21.754999999999999"/>
    <n v="0"/>
    <s v="no"/>
    <s v="northwest"/>
    <n v="4134.0824499999999"/>
  </r>
  <r>
    <n v="19"/>
    <x v="0"/>
    <n v="27.93"/>
    <n v="3"/>
    <s v="no"/>
    <s v="northwest"/>
    <n v="18838.703659999999"/>
  </r>
  <r>
    <n v="19"/>
    <x v="0"/>
    <n v="30.02"/>
    <n v="0"/>
    <s v="yes"/>
    <s v="northwest"/>
    <n v="33307.550799999997"/>
  </r>
  <r>
    <n v="41"/>
    <x v="1"/>
    <n v="33.549999999999997"/>
    <n v="0"/>
    <s v="no"/>
    <s v="southeast"/>
    <n v="5699.8374999999996"/>
  </r>
  <r>
    <n v="40"/>
    <x v="1"/>
    <n v="29.355"/>
    <n v="1"/>
    <s v="no"/>
    <s v="northwest"/>
    <n v="6393.6034499999996"/>
  </r>
  <r>
    <n v="31"/>
    <x v="0"/>
    <n v="25.8"/>
    <n v="2"/>
    <s v="no"/>
    <s v="southwest"/>
    <n v="4934.7049999999999"/>
  </r>
  <r>
    <n v="37"/>
    <x v="1"/>
    <n v="24.32"/>
    <n v="2"/>
    <s v="no"/>
    <s v="northwest"/>
    <n v="6198.7518"/>
  </r>
  <r>
    <n v="46"/>
    <x v="1"/>
    <n v="40.375"/>
    <n v="2"/>
    <s v="no"/>
    <s v="northwest"/>
    <n v="8733.2292500000003"/>
  </r>
  <r>
    <n v="22"/>
    <x v="1"/>
    <n v="32.11"/>
    <n v="0"/>
    <s v="no"/>
    <s v="northwest"/>
    <n v="2055.3249000000001"/>
  </r>
  <r>
    <n v="51"/>
    <x v="1"/>
    <n v="32.299999999999997"/>
    <n v="1"/>
    <s v="no"/>
    <s v="northeast"/>
    <n v="9964.06"/>
  </r>
  <r>
    <n v="18"/>
    <x v="0"/>
    <n v="27.28"/>
    <n v="3"/>
    <s v="yes"/>
    <s v="southeast"/>
    <n v="18223.4512"/>
  </r>
  <r>
    <n v="35"/>
    <x v="1"/>
    <n v="17.86"/>
    <n v="1"/>
    <s v="no"/>
    <s v="northwest"/>
    <n v="5116.5003999999999"/>
  </r>
  <r>
    <n v="59"/>
    <x v="0"/>
    <n v="34.799999999999997"/>
    <n v="2"/>
    <s v="no"/>
    <s v="southwest"/>
    <n v="36910.608030000003"/>
  </r>
  <r>
    <n v="36"/>
    <x v="1"/>
    <n v="33.4"/>
    <n v="2"/>
    <s v="yes"/>
    <s v="southwest"/>
    <n v="38415.474000000002"/>
  </r>
  <r>
    <n v="37"/>
    <x v="0"/>
    <n v="25.555"/>
    <n v="1"/>
    <s v="yes"/>
    <s v="northeast"/>
    <n v="20296.863450000001"/>
  </r>
  <r>
    <n v="59"/>
    <x v="1"/>
    <n v="37.1"/>
    <n v="1"/>
    <s v="no"/>
    <s v="southwest"/>
    <n v="12347.172"/>
  </r>
  <r>
    <n v="36"/>
    <x v="1"/>
    <n v="30.875"/>
    <n v="1"/>
    <s v="no"/>
    <s v="northwest"/>
    <n v="5373.3642499999996"/>
  </r>
  <r>
    <n v="39"/>
    <x v="1"/>
    <n v="34.1"/>
    <n v="2"/>
    <s v="no"/>
    <s v="southeast"/>
    <n v="23563.016179999999"/>
  </r>
  <r>
    <n v="18"/>
    <x v="1"/>
    <n v="21.47"/>
    <n v="0"/>
    <s v="no"/>
    <s v="northeast"/>
    <n v="1702.4553000000001"/>
  </r>
  <r>
    <n v="52"/>
    <x v="0"/>
    <n v="33.299999999999997"/>
    <n v="2"/>
    <s v="no"/>
    <s v="southwest"/>
    <n v="10806.839"/>
  </r>
  <r>
    <n v="27"/>
    <x v="0"/>
    <n v="31.254999999999999"/>
    <n v="1"/>
    <s v="no"/>
    <s v="northwest"/>
    <n v="3956.0714499999999"/>
  </r>
  <r>
    <n v="18"/>
    <x v="1"/>
    <n v="39.14"/>
    <n v="0"/>
    <s v="no"/>
    <s v="northeast"/>
    <n v="12890.057650000001"/>
  </r>
  <r>
    <n v="40"/>
    <x v="1"/>
    <n v="25.08"/>
    <n v="0"/>
    <s v="no"/>
    <s v="southeast"/>
    <n v="5415.6611999999996"/>
  </r>
  <r>
    <n v="29"/>
    <x v="1"/>
    <n v="37.29"/>
    <n v="2"/>
    <s v="no"/>
    <s v="southeast"/>
    <n v="4058.1161000000002"/>
  </r>
  <r>
    <n v="46"/>
    <x v="0"/>
    <n v="34.6"/>
    <n v="1"/>
    <s v="yes"/>
    <s v="southwest"/>
    <n v="41661.601999999999"/>
  </r>
  <r>
    <n v="38"/>
    <x v="0"/>
    <n v="30.21"/>
    <n v="3"/>
    <s v="no"/>
    <s v="northwest"/>
    <n v="7537.1638999999996"/>
  </r>
  <r>
    <n v="30"/>
    <x v="0"/>
    <n v="21.945"/>
    <n v="1"/>
    <s v="no"/>
    <s v="northeast"/>
    <n v="4718.2035500000002"/>
  </r>
  <r>
    <n v="40"/>
    <x v="1"/>
    <n v="24.97"/>
    <n v="2"/>
    <s v="no"/>
    <s v="southeast"/>
    <n v="6593.5083000000004"/>
  </r>
  <r>
    <n v="50"/>
    <x v="1"/>
    <n v="25.3"/>
    <n v="0"/>
    <s v="no"/>
    <s v="southeast"/>
    <n v="8442.6669999999995"/>
  </r>
  <r>
    <n v="20"/>
    <x v="0"/>
    <n v="24.42"/>
    <n v="0"/>
    <s v="yes"/>
    <s v="southeast"/>
    <n v="26125.674770000001"/>
  </r>
  <r>
    <n v="41"/>
    <x v="1"/>
    <n v="23.94"/>
    <n v="1"/>
    <s v="no"/>
    <s v="northeast"/>
    <n v="6858.4795999999997"/>
  </r>
  <r>
    <n v="33"/>
    <x v="0"/>
    <n v="39.82"/>
    <n v="1"/>
    <s v="no"/>
    <s v="southeast"/>
    <n v="4795.6567999999997"/>
  </r>
  <r>
    <n v="38"/>
    <x v="1"/>
    <n v="16.815000000000001"/>
    <n v="2"/>
    <s v="no"/>
    <s v="northeast"/>
    <n v="6640.5448500000002"/>
  </r>
  <r>
    <n v="42"/>
    <x v="1"/>
    <n v="37.18"/>
    <n v="2"/>
    <s v="no"/>
    <s v="southeast"/>
    <n v="7162.0122000000001"/>
  </r>
  <r>
    <n v="56"/>
    <x v="1"/>
    <n v="34.43"/>
    <n v="0"/>
    <s v="no"/>
    <s v="southeast"/>
    <n v="10594.225700000001"/>
  </r>
  <r>
    <n v="58"/>
    <x v="1"/>
    <n v="30.305"/>
    <n v="0"/>
    <s v="no"/>
    <s v="northeast"/>
    <n v="11938.255950000001"/>
  </r>
  <r>
    <n v="52"/>
    <x v="1"/>
    <n v="34.484999999999999"/>
    <n v="3"/>
    <s v="yes"/>
    <s v="northwest"/>
    <n v="60021.398970000002"/>
  </r>
  <r>
    <n v="20"/>
    <x v="0"/>
    <n v="21.8"/>
    <n v="0"/>
    <s v="yes"/>
    <s v="southwest"/>
    <n v="20167.336029999999"/>
  </r>
  <r>
    <n v="54"/>
    <x v="0"/>
    <n v="24.605"/>
    <n v="3"/>
    <s v="no"/>
    <s v="northwest"/>
    <n v="12479.70895"/>
  </r>
  <r>
    <n v="58"/>
    <x v="1"/>
    <n v="23.3"/>
    <n v="0"/>
    <s v="no"/>
    <s v="southwest"/>
    <n v="11345.519"/>
  </r>
  <r>
    <n v="45"/>
    <x v="0"/>
    <n v="27.83"/>
    <n v="2"/>
    <s v="no"/>
    <s v="southeast"/>
    <n v="8515.7587000000003"/>
  </r>
  <r>
    <n v="26"/>
    <x v="1"/>
    <n v="31.065000000000001"/>
    <n v="0"/>
    <s v="no"/>
    <s v="northwest"/>
    <n v="2699.56835"/>
  </r>
  <r>
    <n v="63"/>
    <x v="0"/>
    <n v="21.66"/>
    <n v="0"/>
    <s v="no"/>
    <s v="northeast"/>
    <n v="14449.8544"/>
  </r>
  <r>
    <n v="58"/>
    <x v="0"/>
    <n v="28.215"/>
    <n v="0"/>
    <s v="no"/>
    <s v="northwest"/>
    <n v="12224.350850000001"/>
  </r>
  <r>
    <n v="37"/>
    <x v="1"/>
    <n v="22.704999999999998"/>
    <n v="3"/>
    <s v="no"/>
    <s v="northeast"/>
    <n v="6985.50695"/>
  </r>
  <r>
    <n v="25"/>
    <x v="0"/>
    <n v="42.13"/>
    <n v="1"/>
    <s v="no"/>
    <s v="southeast"/>
    <n v="3238.4357"/>
  </r>
  <r>
    <n v="52"/>
    <x v="1"/>
    <n v="41.8"/>
    <n v="2"/>
    <s v="yes"/>
    <s v="southeast"/>
    <n v="47269.853999999999"/>
  </r>
  <r>
    <n v="64"/>
    <x v="1"/>
    <n v="36.96"/>
    <n v="2"/>
    <s v="yes"/>
    <s v="southeast"/>
    <n v="49577.662400000001"/>
  </r>
  <r>
    <n v="22"/>
    <x v="0"/>
    <n v="21.28"/>
    <n v="3"/>
    <s v="no"/>
    <s v="northwest"/>
    <n v="4296.2712000000001"/>
  </r>
  <r>
    <n v="28"/>
    <x v="0"/>
    <n v="33.11"/>
    <n v="0"/>
    <s v="no"/>
    <s v="southeast"/>
    <n v="3171.6149"/>
  </r>
  <r>
    <n v="18"/>
    <x v="1"/>
    <n v="33.33"/>
    <n v="0"/>
    <s v="no"/>
    <s v="southeast"/>
    <n v="1135.9407000000001"/>
  </r>
  <r>
    <n v="28"/>
    <x v="1"/>
    <n v="24.3"/>
    <n v="5"/>
    <s v="no"/>
    <s v="southwest"/>
    <n v="5615.3689999999997"/>
  </r>
  <r>
    <n v="45"/>
    <x v="0"/>
    <n v="25.7"/>
    <n v="3"/>
    <s v="no"/>
    <s v="southwest"/>
    <n v="9101.7980000000007"/>
  </r>
  <r>
    <n v="33"/>
    <x v="1"/>
    <n v="29.4"/>
    <n v="4"/>
    <s v="no"/>
    <s v="southwest"/>
    <n v="6059.1729999999998"/>
  </r>
  <r>
    <n v="18"/>
    <x v="0"/>
    <n v="39.82"/>
    <n v="0"/>
    <s v="no"/>
    <s v="southeast"/>
    <n v="1633.9618"/>
  </r>
  <r>
    <n v="32"/>
    <x v="1"/>
    <n v="33.630000000000003"/>
    <n v="1"/>
    <s v="yes"/>
    <s v="northeast"/>
    <n v="37607.527699999999"/>
  </r>
  <r>
    <n v="24"/>
    <x v="1"/>
    <n v="29.83"/>
    <n v="0"/>
    <s v="yes"/>
    <s v="northeast"/>
    <n v="18648.421699999999"/>
  </r>
  <r>
    <n v="19"/>
    <x v="1"/>
    <n v="19.8"/>
    <n v="0"/>
    <s v="no"/>
    <s v="southwest"/>
    <n v="1241.5650000000001"/>
  </r>
  <r>
    <n v="20"/>
    <x v="1"/>
    <n v="27.3"/>
    <n v="0"/>
    <s v="yes"/>
    <s v="southwest"/>
    <n v="16232.847"/>
  </r>
  <r>
    <n v="40"/>
    <x v="0"/>
    <n v="29.3"/>
    <n v="4"/>
    <s v="no"/>
    <s v="southwest"/>
    <n v="15828.82173"/>
  </r>
  <r>
    <n v="34"/>
    <x v="0"/>
    <n v="27.72"/>
    <n v="0"/>
    <s v="no"/>
    <s v="southeast"/>
    <n v="4415.1588000000002"/>
  </r>
  <r>
    <n v="42"/>
    <x v="0"/>
    <n v="37.9"/>
    <n v="0"/>
    <s v="no"/>
    <s v="southwest"/>
    <n v="6474.0129999999999"/>
  </r>
  <r>
    <n v="51"/>
    <x v="0"/>
    <n v="36.384999999999998"/>
    <n v="3"/>
    <s v="no"/>
    <s v="northwest"/>
    <n v="11436.738149999999"/>
  </r>
  <r>
    <n v="54"/>
    <x v="0"/>
    <n v="27.645"/>
    <n v="1"/>
    <s v="no"/>
    <s v="northwest"/>
    <n v="11305.93455"/>
  </r>
  <r>
    <n v="55"/>
    <x v="1"/>
    <n v="37.715000000000003"/>
    <n v="3"/>
    <s v="no"/>
    <s v="northwest"/>
    <n v="30063.580549999999"/>
  </r>
  <r>
    <n v="52"/>
    <x v="0"/>
    <n v="23.18"/>
    <n v="0"/>
    <s v="no"/>
    <s v="northeast"/>
    <n v="10197.772199999999"/>
  </r>
  <r>
    <n v="32"/>
    <x v="0"/>
    <n v="20.52"/>
    <n v="0"/>
    <s v="no"/>
    <s v="northeast"/>
    <n v="4544.2348000000002"/>
  </r>
  <r>
    <n v="28"/>
    <x v="1"/>
    <n v="37.1"/>
    <n v="1"/>
    <s v="no"/>
    <s v="southwest"/>
    <n v="3277.1610000000001"/>
  </r>
  <r>
    <n v="41"/>
    <x v="0"/>
    <n v="28.05"/>
    <n v="1"/>
    <s v="no"/>
    <s v="southeast"/>
    <n v="6770.1925000000001"/>
  </r>
  <r>
    <n v="43"/>
    <x v="0"/>
    <n v="29.9"/>
    <n v="1"/>
    <s v="no"/>
    <s v="southwest"/>
    <n v="7337.7479999999996"/>
  </r>
  <r>
    <n v="49"/>
    <x v="0"/>
    <n v="33.344999999999999"/>
    <n v="2"/>
    <s v="no"/>
    <s v="northeast"/>
    <n v="10370.912549999999"/>
  </r>
  <r>
    <n v="64"/>
    <x v="1"/>
    <n v="23.76"/>
    <n v="0"/>
    <s v="yes"/>
    <s v="southeast"/>
    <n v="26926.5144"/>
  </r>
  <r>
    <n v="55"/>
    <x v="0"/>
    <n v="30.5"/>
    <n v="0"/>
    <s v="no"/>
    <s v="southwest"/>
    <n v="10704.47"/>
  </r>
  <r>
    <n v="24"/>
    <x v="1"/>
    <n v="31.065000000000001"/>
    <n v="0"/>
    <s v="yes"/>
    <s v="northeast"/>
    <n v="34254.053350000002"/>
  </r>
  <r>
    <n v="20"/>
    <x v="0"/>
    <n v="33.299999999999997"/>
    <n v="0"/>
    <s v="no"/>
    <s v="southwest"/>
    <n v="1880.4870000000001"/>
  </r>
  <r>
    <n v="45"/>
    <x v="1"/>
    <n v="27.5"/>
    <n v="3"/>
    <s v="no"/>
    <s v="southwest"/>
    <n v="8615.2999999999993"/>
  </r>
  <r>
    <n v="26"/>
    <x v="1"/>
    <n v="33.914999999999999"/>
    <n v="1"/>
    <s v="no"/>
    <s v="northwest"/>
    <n v="3292.5298499999999"/>
  </r>
  <r>
    <n v="25"/>
    <x v="0"/>
    <n v="34.484999999999999"/>
    <n v="0"/>
    <s v="no"/>
    <s v="northwest"/>
    <n v="3021.80915"/>
  </r>
  <r>
    <n v="43"/>
    <x v="1"/>
    <n v="25.52"/>
    <n v="5"/>
    <s v="no"/>
    <s v="southeast"/>
    <n v="14478.33015"/>
  </r>
  <r>
    <n v="35"/>
    <x v="1"/>
    <n v="27.61"/>
    <n v="1"/>
    <s v="no"/>
    <s v="southeast"/>
    <n v="4747.0528999999997"/>
  </r>
  <r>
    <n v="26"/>
    <x v="1"/>
    <n v="27.06"/>
    <n v="0"/>
    <s v="yes"/>
    <s v="southeast"/>
    <n v="17043.341400000001"/>
  </r>
  <r>
    <n v="57"/>
    <x v="1"/>
    <n v="23.7"/>
    <n v="0"/>
    <s v="no"/>
    <s v="southwest"/>
    <n v="10959.33"/>
  </r>
  <r>
    <n v="22"/>
    <x v="0"/>
    <n v="30.4"/>
    <n v="0"/>
    <s v="no"/>
    <s v="northeast"/>
    <n v="2741.9479999999999"/>
  </r>
  <r>
    <n v="32"/>
    <x v="0"/>
    <n v="29.734999999999999"/>
    <n v="0"/>
    <s v="no"/>
    <s v="northwest"/>
    <n v="4357.0436499999996"/>
  </r>
  <r>
    <n v="39"/>
    <x v="1"/>
    <n v="29.925000000000001"/>
    <n v="1"/>
    <s v="yes"/>
    <s v="northeast"/>
    <n v="22462.043750000001"/>
  </r>
  <r>
    <n v="25"/>
    <x v="0"/>
    <n v="26.79"/>
    <n v="2"/>
    <s v="no"/>
    <s v="northwest"/>
    <n v="4189.1130999999996"/>
  </r>
  <r>
    <n v="48"/>
    <x v="0"/>
    <n v="33.33"/>
    <n v="0"/>
    <s v="no"/>
    <s v="southeast"/>
    <n v="8283.6807000000008"/>
  </r>
  <r>
    <n v="47"/>
    <x v="0"/>
    <n v="27.645"/>
    <n v="2"/>
    <s v="yes"/>
    <s v="northwest"/>
    <n v="24535.698550000001"/>
  </r>
  <r>
    <n v="18"/>
    <x v="0"/>
    <n v="21.66"/>
    <n v="0"/>
    <s v="yes"/>
    <s v="northeast"/>
    <n v="14283.4594"/>
  </r>
  <r>
    <n v="18"/>
    <x v="1"/>
    <n v="30.03"/>
    <n v="1"/>
    <s v="no"/>
    <s v="southeast"/>
    <n v="1720.3536999999999"/>
  </r>
  <r>
    <n v="61"/>
    <x v="1"/>
    <n v="36.299999999999997"/>
    <n v="1"/>
    <s v="yes"/>
    <s v="southwest"/>
    <n v="47403.88"/>
  </r>
  <r>
    <n v="47"/>
    <x v="0"/>
    <n v="24.32"/>
    <n v="0"/>
    <s v="no"/>
    <s v="northeast"/>
    <n v="8534.6718000000001"/>
  </r>
  <r>
    <n v="28"/>
    <x v="0"/>
    <n v="17.29"/>
    <n v="0"/>
    <s v="no"/>
    <s v="northeast"/>
    <n v="3732.6251000000002"/>
  </r>
  <r>
    <n v="36"/>
    <x v="0"/>
    <n v="25.9"/>
    <n v="1"/>
    <s v="no"/>
    <s v="southwest"/>
    <n v="5472.4489999999996"/>
  </r>
  <r>
    <n v="20"/>
    <x v="1"/>
    <n v="39.4"/>
    <n v="2"/>
    <s v="yes"/>
    <s v="southwest"/>
    <n v="38344.565999999999"/>
  </r>
  <r>
    <n v="44"/>
    <x v="1"/>
    <n v="34.32"/>
    <n v="1"/>
    <s v="no"/>
    <s v="southeast"/>
    <n v="7147.4727999999996"/>
  </r>
  <r>
    <n v="38"/>
    <x v="0"/>
    <n v="19.95"/>
    <n v="2"/>
    <s v="no"/>
    <s v="northeast"/>
    <n v="7133.9025000000001"/>
  </r>
  <r>
    <n v="19"/>
    <x v="1"/>
    <n v="34.9"/>
    <n v="0"/>
    <s v="yes"/>
    <s v="southwest"/>
    <n v="34828.654000000002"/>
  </r>
  <r>
    <n v="21"/>
    <x v="1"/>
    <n v="23.21"/>
    <n v="0"/>
    <s v="no"/>
    <s v="southeast"/>
    <n v="1515.3449000000001"/>
  </r>
  <r>
    <n v="46"/>
    <x v="1"/>
    <n v="25.745000000000001"/>
    <n v="3"/>
    <s v="no"/>
    <s v="northwest"/>
    <n v="9301.8935500000007"/>
  </r>
  <r>
    <n v="58"/>
    <x v="1"/>
    <n v="25.175000000000001"/>
    <n v="0"/>
    <s v="no"/>
    <s v="northeast"/>
    <n v="11931.125249999999"/>
  </r>
  <r>
    <n v="20"/>
    <x v="1"/>
    <n v="22"/>
    <n v="1"/>
    <s v="no"/>
    <s v="southwest"/>
    <n v="1964.78"/>
  </r>
  <r>
    <n v="18"/>
    <x v="1"/>
    <n v="26.125"/>
    <n v="0"/>
    <s v="no"/>
    <s v="northeast"/>
    <n v="1708.9257500000001"/>
  </r>
  <r>
    <n v="28"/>
    <x v="0"/>
    <n v="26.51"/>
    <n v="2"/>
    <s v="no"/>
    <s v="southeast"/>
    <n v="4340.4408999999996"/>
  </r>
  <r>
    <n v="33"/>
    <x v="1"/>
    <n v="27.454999999999998"/>
    <n v="2"/>
    <s v="no"/>
    <s v="northwest"/>
    <n v="5261.4694499999996"/>
  </r>
  <r>
    <n v="19"/>
    <x v="0"/>
    <n v="25.745000000000001"/>
    <n v="1"/>
    <s v="no"/>
    <s v="northwest"/>
    <n v="2710.8285500000002"/>
  </r>
  <r>
    <n v="45"/>
    <x v="1"/>
    <n v="30.36"/>
    <n v="0"/>
    <s v="yes"/>
    <s v="southeast"/>
    <n v="62592.873090000001"/>
  </r>
  <r>
    <n v="62"/>
    <x v="1"/>
    <n v="30.875"/>
    <n v="3"/>
    <s v="yes"/>
    <s v="northwest"/>
    <n v="46718.163249999998"/>
  </r>
  <r>
    <n v="25"/>
    <x v="0"/>
    <n v="20.8"/>
    <n v="1"/>
    <s v="no"/>
    <s v="southwest"/>
    <n v="3208.7869999999998"/>
  </r>
  <r>
    <n v="43"/>
    <x v="1"/>
    <n v="27.8"/>
    <n v="0"/>
    <s v="yes"/>
    <s v="southwest"/>
    <n v="37829.724199999997"/>
  </r>
  <r>
    <n v="42"/>
    <x v="1"/>
    <n v="24.605"/>
    <n v="2"/>
    <s v="yes"/>
    <s v="northeast"/>
    <n v="21259.377949999998"/>
  </r>
  <r>
    <n v="24"/>
    <x v="0"/>
    <n v="27.72"/>
    <n v="0"/>
    <s v="no"/>
    <s v="southeast"/>
    <n v="2464.6188000000002"/>
  </r>
  <r>
    <n v="29"/>
    <x v="0"/>
    <n v="21.85"/>
    <n v="0"/>
    <s v="yes"/>
    <s v="northeast"/>
    <n v="16115.3045"/>
  </r>
  <r>
    <n v="32"/>
    <x v="1"/>
    <n v="28.12"/>
    <n v="4"/>
    <s v="yes"/>
    <s v="northwest"/>
    <n v="21472.478800000001"/>
  </r>
  <r>
    <n v="25"/>
    <x v="0"/>
    <n v="30.2"/>
    <n v="0"/>
    <s v="yes"/>
    <s v="southwest"/>
    <n v="33900.652999999998"/>
  </r>
  <r>
    <n v="41"/>
    <x v="1"/>
    <n v="32.200000000000003"/>
    <n v="2"/>
    <s v="no"/>
    <s v="southwest"/>
    <n v="6875.9610000000002"/>
  </r>
  <r>
    <n v="42"/>
    <x v="1"/>
    <n v="26.315000000000001"/>
    <n v="1"/>
    <s v="no"/>
    <s v="northwest"/>
    <n v="6940.90985"/>
  </r>
  <r>
    <n v="33"/>
    <x v="0"/>
    <n v="26.695"/>
    <n v="0"/>
    <s v="no"/>
    <s v="northwest"/>
    <n v="4571.4130500000001"/>
  </r>
  <r>
    <n v="34"/>
    <x v="1"/>
    <n v="42.9"/>
    <n v="1"/>
    <s v="no"/>
    <s v="southwest"/>
    <n v="4536.259"/>
  </r>
  <r>
    <n v="19"/>
    <x v="0"/>
    <n v="34.700000000000003"/>
    <n v="2"/>
    <s v="yes"/>
    <s v="southwest"/>
    <n v="36397.576000000001"/>
  </r>
  <r>
    <n v="30"/>
    <x v="0"/>
    <n v="23.655000000000001"/>
    <n v="3"/>
    <s v="yes"/>
    <s v="northwest"/>
    <n v="18765.87545"/>
  </r>
  <r>
    <n v="18"/>
    <x v="1"/>
    <n v="28.31"/>
    <n v="1"/>
    <s v="no"/>
    <s v="northeast"/>
    <n v="11272.331389999999"/>
  </r>
  <r>
    <n v="19"/>
    <x v="0"/>
    <n v="20.6"/>
    <n v="0"/>
    <s v="no"/>
    <s v="southwest"/>
    <n v="1731.6769999999999"/>
  </r>
  <r>
    <n v="18"/>
    <x v="1"/>
    <n v="53.13"/>
    <n v="0"/>
    <s v="no"/>
    <s v="southeast"/>
    <n v="1163.4627"/>
  </r>
  <r>
    <n v="35"/>
    <x v="1"/>
    <n v="39.71"/>
    <n v="4"/>
    <s v="no"/>
    <s v="northeast"/>
    <n v="19496.71917"/>
  </r>
  <r>
    <n v="39"/>
    <x v="0"/>
    <n v="26.315000000000001"/>
    <n v="2"/>
    <s v="no"/>
    <s v="northwest"/>
    <n v="7201.7008500000002"/>
  </r>
  <r>
    <n v="31"/>
    <x v="1"/>
    <n v="31.065000000000001"/>
    <n v="3"/>
    <s v="no"/>
    <s v="northwest"/>
    <n v="5425.0233500000004"/>
  </r>
  <r>
    <n v="62"/>
    <x v="1"/>
    <n v="26.695"/>
    <n v="0"/>
    <s v="yes"/>
    <s v="northeast"/>
    <n v="28101.333050000001"/>
  </r>
  <r>
    <n v="62"/>
    <x v="1"/>
    <n v="38.83"/>
    <n v="0"/>
    <s v="no"/>
    <s v="southeast"/>
    <n v="12981.3457"/>
  </r>
  <r>
    <n v="42"/>
    <x v="0"/>
    <n v="40.369999999999997"/>
    <n v="2"/>
    <s v="yes"/>
    <s v="southeast"/>
    <n v="43896.376300000004"/>
  </r>
  <r>
    <n v="31"/>
    <x v="1"/>
    <n v="25.934999999999999"/>
    <n v="1"/>
    <s v="no"/>
    <s v="northwest"/>
    <n v="4239.8926499999998"/>
  </r>
  <r>
    <n v="61"/>
    <x v="1"/>
    <n v="33.534999999999997"/>
    <n v="0"/>
    <s v="no"/>
    <s v="northeast"/>
    <n v="13143.336649999999"/>
  </r>
  <r>
    <n v="42"/>
    <x v="0"/>
    <n v="32.869999999999997"/>
    <n v="0"/>
    <s v="no"/>
    <s v="northeast"/>
    <n v="7050.0213000000003"/>
  </r>
  <r>
    <n v="51"/>
    <x v="1"/>
    <n v="30.03"/>
    <n v="1"/>
    <s v="no"/>
    <s v="southeast"/>
    <n v="9377.9046999999991"/>
  </r>
  <r>
    <n v="23"/>
    <x v="0"/>
    <n v="24.225000000000001"/>
    <n v="2"/>
    <s v="no"/>
    <s v="northeast"/>
    <n v="22395.74424"/>
  </r>
  <r>
    <n v="52"/>
    <x v="1"/>
    <n v="38.6"/>
    <n v="2"/>
    <s v="no"/>
    <s v="southwest"/>
    <n v="10325.206"/>
  </r>
  <r>
    <n v="57"/>
    <x v="0"/>
    <n v="25.74"/>
    <n v="2"/>
    <s v="no"/>
    <s v="southeast"/>
    <n v="12629.1656"/>
  </r>
  <r>
    <n v="23"/>
    <x v="0"/>
    <n v="33.4"/>
    <n v="0"/>
    <s v="no"/>
    <s v="southwest"/>
    <n v="10795.937330000001"/>
  </r>
  <r>
    <n v="52"/>
    <x v="0"/>
    <n v="44.7"/>
    <n v="3"/>
    <s v="no"/>
    <s v="southwest"/>
    <n v="11411.684999999999"/>
  </r>
  <r>
    <n v="50"/>
    <x v="1"/>
    <n v="30.97"/>
    <n v="3"/>
    <s v="no"/>
    <s v="northwest"/>
    <n v="10600.5483"/>
  </r>
  <r>
    <n v="18"/>
    <x v="0"/>
    <n v="31.92"/>
    <n v="0"/>
    <s v="no"/>
    <s v="northeast"/>
    <n v="2205.9807999999998"/>
  </r>
  <r>
    <n v="18"/>
    <x v="0"/>
    <n v="36.85"/>
    <n v="0"/>
    <s v="no"/>
    <s v="southeast"/>
    <n v="1629.8335"/>
  </r>
  <r>
    <n v="21"/>
    <x v="0"/>
    <n v="25.8"/>
    <n v="0"/>
    <s v="no"/>
    <s v="southwest"/>
    <n v="2007.9449999999999"/>
  </r>
  <r>
    <n v="61"/>
    <x v="0"/>
    <n v="29.07"/>
    <n v="0"/>
    <s v="yes"/>
    <s v="northwest"/>
    <n v="29141.36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7.9"/>
    <n v="0"/>
    <x v="0"/>
    <s v="southwest"/>
    <n v="16884.923999999999"/>
  </r>
  <r>
    <n v="18"/>
    <s v="male"/>
    <n v="33.770000000000003"/>
    <n v="1"/>
    <x v="1"/>
    <s v="southeast"/>
    <n v="1725.5523000000001"/>
  </r>
  <r>
    <n v="28"/>
    <s v="male"/>
    <n v="33"/>
    <n v="3"/>
    <x v="1"/>
    <s v="southeast"/>
    <n v="4449.4620000000004"/>
  </r>
  <r>
    <n v="33"/>
    <s v="male"/>
    <n v="22.704999999999998"/>
    <n v="0"/>
    <x v="1"/>
    <s v="northwest"/>
    <n v="21984.47061"/>
  </r>
  <r>
    <n v="32"/>
    <s v="male"/>
    <n v="28.88"/>
    <n v="0"/>
    <x v="1"/>
    <s v="northwest"/>
    <n v="3866.8552"/>
  </r>
  <r>
    <n v="31"/>
    <s v="female"/>
    <n v="25.74"/>
    <n v="0"/>
    <x v="1"/>
    <s v="southeast"/>
    <n v="3756.6215999999999"/>
  </r>
  <r>
    <n v="46"/>
    <s v="female"/>
    <n v="33.44"/>
    <n v="1"/>
    <x v="1"/>
    <s v="southeast"/>
    <n v="8240.5895999999993"/>
  </r>
  <r>
    <n v="37"/>
    <s v="female"/>
    <n v="27.74"/>
    <n v="3"/>
    <x v="1"/>
    <s v="northwest"/>
    <n v="7281.5056000000004"/>
  </r>
  <r>
    <n v="37"/>
    <s v="male"/>
    <n v="29.83"/>
    <n v="2"/>
    <x v="1"/>
    <s v="northeast"/>
    <n v="6406.4107000000004"/>
  </r>
  <r>
    <n v="60"/>
    <s v="female"/>
    <n v="25.84"/>
    <n v="0"/>
    <x v="1"/>
    <s v="northwest"/>
    <n v="28923.136920000001"/>
  </r>
  <r>
    <n v="25"/>
    <s v="male"/>
    <n v="26.22"/>
    <n v="0"/>
    <x v="1"/>
    <s v="northeast"/>
    <n v="2721.3208"/>
  </r>
  <r>
    <n v="62"/>
    <s v="female"/>
    <n v="26.29"/>
    <n v="0"/>
    <x v="0"/>
    <s v="southeast"/>
    <n v="27808.7251"/>
  </r>
  <r>
    <n v="23"/>
    <s v="male"/>
    <n v="34.4"/>
    <n v="0"/>
    <x v="1"/>
    <s v="southwest"/>
    <n v="1826.8430000000001"/>
  </r>
  <r>
    <n v="56"/>
    <s v="female"/>
    <n v="39.82"/>
    <n v="0"/>
    <x v="1"/>
    <s v="southeast"/>
    <n v="11090.7178"/>
  </r>
  <r>
    <n v="27"/>
    <s v="male"/>
    <n v="42.13"/>
    <n v="0"/>
    <x v="0"/>
    <s v="southeast"/>
    <n v="39611.757700000002"/>
  </r>
  <r>
    <n v="19"/>
    <s v="male"/>
    <n v="24.6"/>
    <n v="1"/>
    <x v="1"/>
    <s v="southwest"/>
    <n v="1837.2370000000001"/>
  </r>
  <r>
    <n v="52"/>
    <s v="female"/>
    <n v="30.78"/>
    <n v="1"/>
    <x v="1"/>
    <s v="northeast"/>
    <n v="10797.3362"/>
  </r>
  <r>
    <n v="23"/>
    <s v="male"/>
    <n v="23.844999999999999"/>
    <n v="0"/>
    <x v="1"/>
    <s v="northeast"/>
    <n v="2395.17155"/>
  </r>
  <r>
    <n v="56"/>
    <s v="male"/>
    <n v="40.299999999999997"/>
    <n v="0"/>
    <x v="1"/>
    <s v="southwest"/>
    <n v="10602.385"/>
  </r>
  <r>
    <n v="30"/>
    <s v="male"/>
    <n v="35.299999999999997"/>
    <n v="0"/>
    <x v="0"/>
    <s v="southwest"/>
    <n v="36837.466999999997"/>
  </r>
  <r>
    <n v="60"/>
    <s v="female"/>
    <n v="36.005000000000003"/>
    <n v="0"/>
    <x v="1"/>
    <s v="northeast"/>
    <n v="13228.846949999999"/>
  </r>
  <r>
    <n v="30"/>
    <s v="female"/>
    <n v="32.4"/>
    <n v="1"/>
    <x v="1"/>
    <s v="southwest"/>
    <n v="4149.7359999999999"/>
  </r>
  <r>
    <n v="18"/>
    <s v="male"/>
    <n v="34.1"/>
    <n v="0"/>
    <x v="1"/>
    <s v="southeast"/>
    <n v="1137.011"/>
  </r>
  <r>
    <n v="34"/>
    <s v="female"/>
    <n v="31.92"/>
    <n v="1"/>
    <x v="0"/>
    <s v="northeast"/>
    <n v="37701.876799999998"/>
  </r>
  <r>
    <n v="37"/>
    <s v="male"/>
    <n v="28.024999999999999"/>
    <n v="2"/>
    <x v="1"/>
    <s v="northwest"/>
    <n v="6203.90175"/>
  </r>
  <r>
    <n v="59"/>
    <s v="female"/>
    <n v="27.72"/>
    <n v="3"/>
    <x v="1"/>
    <s v="southeast"/>
    <n v="14001.1338"/>
  </r>
  <r>
    <n v="63"/>
    <s v="female"/>
    <n v="23.085000000000001"/>
    <n v="0"/>
    <x v="1"/>
    <s v="northeast"/>
    <n v="14451.835150000001"/>
  </r>
  <r>
    <n v="55"/>
    <s v="female"/>
    <n v="32.774999999999999"/>
    <n v="2"/>
    <x v="1"/>
    <s v="northwest"/>
    <n v="12268.632250000001"/>
  </r>
  <r>
    <n v="23"/>
    <s v="male"/>
    <n v="17.385000000000002"/>
    <n v="1"/>
    <x v="1"/>
    <s v="northwest"/>
    <n v="2775.1921499999999"/>
  </r>
  <r>
    <n v="31"/>
    <s v="male"/>
    <n v="36.299999999999997"/>
    <n v="2"/>
    <x v="0"/>
    <s v="southwest"/>
    <n v="38711"/>
  </r>
  <r>
    <n v="22"/>
    <s v="male"/>
    <n v="35.6"/>
    <n v="0"/>
    <x v="0"/>
    <s v="southwest"/>
    <n v="35585.576000000001"/>
  </r>
  <r>
    <n v="18"/>
    <s v="female"/>
    <n v="26.315000000000001"/>
    <n v="0"/>
    <x v="1"/>
    <s v="northeast"/>
    <n v="2198.1898500000002"/>
  </r>
  <r>
    <n v="19"/>
    <s v="female"/>
    <n v="28.6"/>
    <n v="5"/>
    <x v="1"/>
    <s v="southwest"/>
    <n v="4687.7969999999996"/>
  </r>
  <r>
    <n v="63"/>
    <s v="male"/>
    <n v="28.31"/>
    <n v="0"/>
    <x v="1"/>
    <s v="northwest"/>
    <n v="13770.097900000001"/>
  </r>
  <r>
    <n v="28"/>
    <s v="male"/>
    <n v="36.4"/>
    <n v="1"/>
    <x v="0"/>
    <s v="southwest"/>
    <n v="51194.559139999998"/>
  </r>
  <r>
    <n v="19"/>
    <s v="male"/>
    <n v="20.425000000000001"/>
    <n v="0"/>
    <x v="1"/>
    <s v="northwest"/>
    <n v="1625.4337499999999"/>
  </r>
  <r>
    <n v="62"/>
    <s v="female"/>
    <n v="32.965000000000003"/>
    <n v="3"/>
    <x v="1"/>
    <s v="northwest"/>
    <n v="15612.19335"/>
  </r>
  <r>
    <n v="26"/>
    <s v="male"/>
    <n v="20.8"/>
    <n v="0"/>
    <x v="1"/>
    <s v="southwest"/>
    <n v="2302.3000000000002"/>
  </r>
  <r>
    <n v="35"/>
    <s v="male"/>
    <n v="36.67"/>
    <n v="1"/>
    <x v="0"/>
    <s v="northeast"/>
    <n v="39774.276299999998"/>
  </r>
  <r>
    <n v="60"/>
    <s v="male"/>
    <n v="39.9"/>
    <n v="0"/>
    <x v="0"/>
    <s v="southwest"/>
    <n v="48173.360999999997"/>
  </r>
  <r>
    <n v="24"/>
    <s v="female"/>
    <n v="26.6"/>
    <n v="0"/>
    <x v="1"/>
    <s v="northeast"/>
    <n v="3046.0619999999999"/>
  </r>
  <r>
    <n v="31"/>
    <s v="female"/>
    <n v="36.630000000000003"/>
    <n v="2"/>
    <x v="1"/>
    <s v="southeast"/>
    <n v="4949.7587000000003"/>
  </r>
  <r>
    <n v="41"/>
    <s v="male"/>
    <n v="21.78"/>
    <n v="1"/>
    <x v="1"/>
    <s v="southeast"/>
    <n v="6272.4772000000003"/>
  </r>
  <r>
    <n v="37"/>
    <s v="female"/>
    <n v="30.8"/>
    <n v="2"/>
    <x v="1"/>
    <s v="southeast"/>
    <n v="6313.759"/>
  </r>
  <r>
    <n v="38"/>
    <s v="male"/>
    <n v="37.049999999999997"/>
    <n v="1"/>
    <x v="1"/>
    <s v="northeast"/>
    <n v="6079.6715000000004"/>
  </r>
  <r>
    <n v="55"/>
    <s v="male"/>
    <n v="37.299999999999997"/>
    <n v="0"/>
    <x v="1"/>
    <s v="southwest"/>
    <n v="20630.283510000001"/>
  </r>
  <r>
    <n v="18"/>
    <s v="female"/>
    <n v="38.664999999999999"/>
    <n v="2"/>
    <x v="1"/>
    <s v="northeast"/>
    <n v="3393.35635"/>
  </r>
  <r>
    <n v="28"/>
    <s v="female"/>
    <n v="34.770000000000003"/>
    <n v="0"/>
    <x v="1"/>
    <s v="northwest"/>
    <n v="3556.9223000000002"/>
  </r>
  <r>
    <n v="60"/>
    <s v="female"/>
    <n v="24.53"/>
    <n v="0"/>
    <x v="1"/>
    <s v="southeast"/>
    <n v="12629.896699999999"/>
  </r>
  <r>
    <n v="36"/>
    <s v="male"/>
    <n v="35.200000000000003"/>
    <n v="1"/>
    <x v="0"/>
    <s v="southeast"/>
    <n v="38709.175999999999"/>
  </r>
  <r>
    <n v="18"/>
    <s v="female"/>
    <n v="35.625"/>
    <n v="0"/>
    <x v="1"/>
    <s v="northeast"/>
    <n v="2211.1307499999998"/>
  </r>
  <r>
    <n v="21"/>
    <s v="female"/>
    <n v="33.630000000000003"/>
    <n v="2"/>
    <x v="1"/>
    <s v="northwest"/>
    <n v="3579.8287"/>
  </r>
  <r>
    <n v="48"/>
    <s v="male"/>
    <n v="28"/>
    <n v="1"/>
    <x v="0"/>
    <s v="southwest"/>
    <n v="23568.272000000001"/>
  </r>
  <r>
    <n v="36"/>
    <s v="male"/>
    <n v="34.43"/>
    <n v="0"/>
    <x v="0"/>
    <s v="southeast"/>
    <n v="37742.575700000001"/>
  </r>
  <r>
    <n v="40"/>
    <s v="female"/>
    <n v="28.69"/>
    <n v="3"/>
    <x v="1"/>
    <s v="northwest"/>
    <n v="8059.6791000000003"/>
  </r>
  <r>
    <n v="58"/>
    <s v="male"/>
    <n v="36.954999999999998"/>
    <n v="2"/>
    <x v="0"/>
    <s v="northwest"/>
    <n v="47496.494449999998"/>
  </r>
  <r>
    <n v="58"/>
    <s v="female"/>
    <n v="31.824999999999999"/>
    <n v="2"/>
    <x v="1"/>
    <s v="northeast"/>
    <n v="13607.36875"/>
  </r>
  <r>
    <n v="18"/>
    <s v="male"/>
    <n v="31.68"/>
    <n v="2"/>
    <x v="0"/>
    <s v="southeast"/>
    <n v="34303.167200000004"/>
  </r>
  <r>
    <n v="53"/>
    <s v="female"/>
    <n v="22.88"/>
    <n v="1"/>
    <x v="0"/>
    <s v="southeast"/>
    <n v="23244.790199999999"/>
  </r>
  <r>
    <n v="34"/>
    <s v="female"/>
    <n v="37.335000000000001"/>
    <n v="2"/>
    <x v="1"/>
    <s v="northwest"/>
    <n v="5989.5236500000001"/>
  </r>
  <r>
    <n v="43"/>
    <s v="male"/>
    <n v="27.36"/>
    <n v="3"/>
    <x v="1"/>
    <s v="northeast"/>
    <n v="8606.2173999999995"/>
  </r>
  <r>
    <n v="25"/>
    <s v="male"/>
    <n v="33.659999999999997"/>
    <n v="4"/>
    <x v="1"/>
    <s v="southeast"/>
    <n v="4504.6624000000002"/>
  </r>
  <r>
    <n v="64"/>
    <s v="male"/>
    <n v="24.7"/>
    <n v="1"/>
    <x v="1"/>
    <s v="northwest"/>
    <n v="30166.618170000002"/>
  </r>
  <r>
    <n v="28"/>
    <s v="female"/>
    <n v="25.934999999999999"/>
    <n v="1"/>
    <x v="1"/>
    <s v="northwest"/>
    <n v="4133.6416499999996"/>
  </r>
  <r>
    <n v="20"/>
    <s v="female"/>
    <n v="22.42"/>
    <n v="0"/>
    <x v="0"/>
    <s v="northwest"/>
    <n v="14711.7438"/>
  </r>
  <r>
    <n v="19"/>
    <s v="female"/>
    <n v="28.9"/>
    <n v="0"/>
    <x v="1"/>
    <s v="southwest"/>
    <n v="1743.2139999999999"/>
  </r>
  <r>
    <n v="61"/>
    <s v="female"/>
    <n v="39.1"/>
    <n v="2"/>
    <x v="1"/>
    <s v="southwest"/>
    <n v="14235.072"/>
  </r>
  <r>
    <n v="40"/>
    <s v="male"/>
    <n v="26.315000000000001"/>
    <n v="1"/>
    <x v="1"/>
    <s v="northwest"/>
    <n v="6389.3778499999999"/>
  </r>
  <r>
    <n v="40"/>
    <s v="female"/>
    <n v="36.19"/>
    <n v="0"/>
    <x v="1"/>
    <s v="southeast"/>
    <n v="5920.1040999999996"/>
  </r>
  <r>
    <n v="28"/>
    <s v="male"/>
    <n v="23.98"/>
    <n v="3"/>
    <x v="0"/>
    <s v="southeast"/>
    <n v="17663.144199999999"/>
  </r>
  <r>
    <n v="27"/>
    <s v="female"/>
    <n v="24.75"/>
    <n v="0"/>
    <x v="0"/>
    <s v="southeast"/>
    <n v="16577.779500000001"/>
  </r>
  <r>
    <n v="31"/>
    <s v="male"/>
    <n v="28.5"/>
    <n v="5"/>
    <x v="1"/>
    <s v="northeast"/>
    <n v="6799.4579999999996"/>
  </r>
  <r>
    <n v="53"/>
    <s v="female"/>
    <n v="28.1"/>
    <n v="3"/>
    <x v="1"/>
    <s v="southwest"/>
    <n v="11741.726000000001"/>
  </r>
  <r>
    <n v="58"/>
    <s v="male"/>
    <n v="32.01"/>
    <n v="1"/>
    <x v="1"/>
    <s v="southeast"/>
    <n v="11946.625899999999"/>
  </r>
  <r>
    <n v="44"/>
    <s v="male"/>
    <n v="27.4"/>
    <n v="2"/>
    <x v="1"/>
    <s v="southwest"/>
    <n v="7726.8540000000003"/>
  </r>
  <r>
    <n v="57"/>
    <s v="male"/>
    <n v="34.01"/>
    <n v="0"/>
    <x v="1"/>
    <s v="northwest"/>
    <n v="11356.660900000001"/>
  </r>
  <r>
    <n v="29"/>
    <s v="female"/>
    <n v="29.59"/>
    <n v="1"/>
    <x v="1"/>
    <s v="southeast"/>
    <n v="3947.4131000000002"/>
  </r>
  <r>
    <n v="21"/>
    <s v="male"/>
    <n v="35.53"/>
    <n v="0"/>
    <x v="1"/>
    <s v="southeast"/>
    <n v="1532.4697000000001"/>
  </r>
  <r>
    <n v="22"/>
    <s v="female"/>
    <n v="39.805"/>
    <n v="0"/>
    <x v="1"/>
    <s v="northeast"/>
    <n v="2755.0209500000001"/>
  </r>
  <r>
    <n v="41"/>
    <s v="female"/>
    <n v="32.965000000000003"/>
    <n v="0"/>
    <x v="1"/>
    <s v="northwest"/>
    <n v="6571.0243499999997"/>
  </r>
  <r>
    <n v="31"/>
    <s v="male"/>
    <n v="26.885000000000002"/>
    <n v="1"/>
    <x v="1"/>
    <s v="northeast"/>
    <n v="4441.2131499999996"/>
  </r>
  <r>
    <n v="45"/>
    <s v="female"/>
    <n v="38.284999999999997"/>
    <n v="0"/>
    <x v="1"/>
    <s v="northeast"/>
    <n v="7935.29115"/>
  </r>
  <r>
    <n v="22"/>
    <s v="male"/>
    <n v="37.619999999999997"/>
    <n v="1"/>
    <x v="0"/>
    <s v="southeast"/>
    <n v="37165.163800000002"/>
  </r>
  <r>
    <n v="48"/>
    <s v="female"/>
    <n v="41.23"/>
    <n v="4"/>
    <x v="1"/>
    <s v="northwest"/>
    <n v="11033.661700000001"/>
  </r>
  <r>
    <n v="37"/>
    <s v="female"/>
    <n v="34.799999999999997"/>
    <n v="2"/>
    <x v="0"/>
    <s v="southwest"/>
    <n v="39836.519"/>
  </r>
  <r>
    <n v="45"/>
    <s v="male"/>
    <n v="22.895"/>
    <n v="2"/>
    <x v="0"/>
    <s v="northwest"/>
    <n v="21098.554049999999"/>
  </r>
  <r>
    <n v="57"/>
    <s v="female"/>
    <n v="31.16"/>
    <n v="0"/>
    <x v="0"/>
    <s v="northwest"/>
    <n v="43578.939400000003"/>
  </r>
  <r>
    <n v="56"/>
    <s v="female"/>
    <n v="27.2"/>
    <n v="0"/>
    <x v="1"/>
    <s v="southwest"/>
    <n v="11073.175999999999"/>
  </r>
  <r>
    <n v="46"/>
    <s v="female"/>
    <n v="27.74"/>
    <n v="0"/>
    <x v="1"/>
    <s v="northwest"/>
    <n v="8026.6665999999996"/>
  </r>
  <r>
    <n v="55"/>
    <s v="female"/>
    <n v="26.98"/>
    <n v="0"/>
    <x v="1"/>
    <s v="northwest"/>
    <n v="11082.5772"/>
  </r>
  <r>
    <n v="21"/>
    <s v="female"/>
    <n v="39.49"/>
    <n v="0"/>
    <x v="1"/>
    <s v="southeast"/>
    <n v="2026.9740999999999"/>
  </r>
  <r>
    <n v="53"/>
    <s v="female"/>
    <n v="24.795000000000002"/>
    <n v="1"/>
    <x v="1"/>
    <s v="northwest"/>
    <n v="10942.13205"/>
  </r>
  <r>
    <n v="59"/>
    <s v="male"/>
    <n v="29.83"/>
    <n v="3"/>
    <x v="0"/>
    <s v="northeast"/>
    <n v="30184.936699999998"/>
  </r>
  <r>
    <n v="35"/>
    <s v="male"/>
    <n v="34.770000000000003"/>
    <n v="2"/>
    <x v="1"/>
    <s v="northwest"/>
    <n v="5729.0052999999998"/>
  </r>
  <r>
    <n v="64"/>
    <s v="female"/>
    <n v="31.3"/>
    <n v="2"/>
    <x v="0"/>
    <s v="southwest"/>
    <n v="47291.055"/>
  </r>
  <r>
    <n v="28"/>
    <s v="female"/>
    <n v="37.619999999999997"/>
    <n v="1"/>
    <x v="1"/>
    <s v="southeast"/>
    <n v="3766.8838000000001"/>
  </r>
  <r>
    <n v="54"/>
    <s v="female"/>
    <n v="30.8"/>
    <n v="3"/>
    <x v="1"/>
    <s v="southwest"/>
    <n v="12105.32"/>
  </r>
  <r>
    <n v="55"/>
    <s v="male"/>
    <n v="38.28"/>
    <n v="0"/>
    <x v="1"/>
    <s v="southeast"/>
    <n v="10226.2842"/>
  </r>
  <r>
    <n v="56"/>
    <s v="male"/>
    <n v="19.95"/>
    <n v="0"/>
    <x v="0"/>
    <s v="northeast"/>
    <n v="22412.648499999999"/>
  </r>
  <r>
    <n v="38"/>
    <s v="male"/>
    <n v="19.3"/>
    <n v="0"/>
    <x v="0"/>
    <s v="southwest"/>
    <n v="15820.699000000001"/>
  </r>
  <r>
    <n v="41"/>
    <s v="female"/>
    <n v="31.6"/>
    <n v="0"/>
    <x v="1"/>
    <s v="southwest"/>
    <n v="6186.1270000000004"/>
  </r>
  <r>
    <n v="30"/>
    <s v="male"/>
    <n v="25.46"/>
    <n v="0"/>
    <x v="1"/>
    <s v="northeast"/>
    <n v="3645.0893999999998"/>
  </r>
  <r>
    <n v="18"/>
    <s v="female"/>
    <n v="30.114999999999998"/>
    <n v="0"/>
    <x v="1"/>
    <s v="northeast"/>
    <n v="21344.846699999998"/>
  </r>
  <r>
    <n v="61"/>
    <s v="female"/>
    <n v="29.92"/>
    <n v="3"/>
    <x v="0"/>
    <s v="southeast"/>
    <n v="30942.191800000001"/>
  </r>
  <r>
    <n v="34"/>
    <s v="female"/>
    <n v="27.5"/>
    <n v="1"/>
    <x v="1"/>
    <s v="southwest"/>
    <n v="5003.8530000000001"/>
  </r>
  <r>
    <n v="20"/>
    <s v="male"/>
    <n v="28.024999999999999"/>
    <n v="1"/>
    <x v="0"/>
    <s v="northwest"/>
    <n v="17560.37975"/>
  </r>
  <r>
    <n v="19"/>
    <s v="female"/>
    <n v="28.4"/>
    <n v="1"/>
    <x v="1"/>
    <s v="southwest"/>
    <n v="2331.5189999999998"/>
  </r>
  <r>
    <n v="26"/>
    <s v="male"/>
    <n v="30.875"/>
    <n v="2"/>
    <x v="1"/>
    <s v="northwest"/>
    <n v="3877.3042500000001"/>
  </r>
  <r>
    <n v="29"/>
    <s v="male"/>
    <n v="27.94"/>
    <n v="0"/>
    <x v="1"/>
    <s v="southeast"/>
    <n v="2867.1196"/>
  </r>
  <r>
    <n v="63"/>
    <s v="male"/>
    <n v="35.090000000000003"/>
    <n v="0"/>
    <x v="0"/>
    <s v="southeast"/>
    <n v="47055.532099999997"/>
  </r>
  <r>
    <n v="54"/>
    <s v="male"/>
    <n v="33.630000000000003"/>
    <n v="1"/>
    <x v="1"/>
    <s v="northwest"/>
    <n v="10825.253699999999"/>
  </r>
  <r>
    <n v="55"/>
    <s v="female"/>
    <n v="29.7"/>
    <n v="2"/>
    <x v="1"/>
    <s v="southwest"/>
    <n v="11881.358"/>
  </r>
  <r>
    <n v="37"/>
    <s v="male"/>
    <n v="30.8"/>
    <n v="0"/>
    <x v="1"/>
    <s v="southwest"/>
    <n v="4646.759"/>
  </r>
  <r>
    <n v="21"/>
    <s v="female"/>
    <n v="35.72"/>
    <n v="0"/>
    <x v="1"/>
    <s v="northwest"/>
    <n v="2404.7338"/>
  </r>
  <r>
    <n v="52"/>
    <s v="male"/>
    <n v="32.204999999999998"/>
    <n v="3"/>
    <x v="1"/>
    <s v="northeast"/>
    <n v="11488.31695"/>
  </r>
  <r>
    <n v="60"/>
    <s v="male"/>
    <n v="28.594999999999999"/>
    <n v="0"/>
    <x v="1"/>
    <s v="northeast"/>
    <n v="30259.995559999999"/>
  </r>
  <r>
    <n v="58"/>
    <s v="male"/>
    <n v="49.06"/>
    <n v="0"/>
    <x v="1"/>
    <s v="southeast"/>
    <n v="11381.3254"/>
  </r>
  <r>
    <n v="29"/>
    <s v="female"/>
    <n v="27.94"/>
    <n v="1"/>
    <x v="0"/>
    <s v="southeast"/>
    <n v="19107.779600000002"/>
  </r>
  <r>
    <n v="49"/>
    <s v="female"/>
    <n v="27.17"/>
    <n v="0"/>
    <x v="1"/>
    <s v="southeast"/>
    <n v="8601.3292999999994"/>
  </r>
  <r>
    <n v="37"/>
    <s v="female"/>
    <n v="23.37"/>
    <n v="2"/>
    <x v="1"/>
    <s v="northwest"/>
    <n v="6686.4313000000002"/>
  </r>
  <r>
    <n v="44"/>
    <s v="male"/>
    <n v="37.1"/>
    <n v="2"/>
    <x v="1"/>
    <s v="southwest"/>
    <n v="7740.3370000000004"/>
  </r>
  <r>
    <n v="18"/>
    <s v="male"/>
    <n v="23.75"/>
    <n v="0"/>
    <x v="1"/>
    <s v="northeast"/>
    <n v="1705.6244999999999"/>
  </r>
  <r>
    <n v="20"/>
    <s v="female"/>
    <n v="28.975000000000001"/>
    <n v="0"/>
    <x v="1"/>
    <s v="northwest"/>
    <n v="2257.47525"/>
  </r>
  <r>
    <n v="44"/>
    <s v="male"/>
    <n v="31.35"/>
    <n v="1"/>
    <x v="0"/>
    <s v="northeast"/>
    <n v="39556.494500000001"/>
  </r>
  <r>
    <n v="47"/>
    <s v="female"/>
    <n v="33.914999999999999"/>
    <n v="3"/>
    <x v="1"/>
    <s v="northwest"/>
    <n v="10115.00885"/>
  </r>
  <r>
    <n v="26"/>
    <s v="female"/>
    <n v="28.785"/>
    <n v="0"/>
    <x v="1"/>
    <s v="northeast"/>
    <n v="3385.3991500000002"/>
  </r>
  <r>
    <n v="19"/>
    <s v="female"/>
    <n v="28.3"/>
    <n v="0"/>
    <x v="0"/>
    <s v="southwest"/>
    <n v="17081.080000000002"/>
  </r>
  <r>
    <n v="52"/>
    <s v="female"/>
    <n v="37.4"/>
    <n v="0"/>
    <x v="1"/>
    <s v="southwest"/>
    <n v="9634.5380000000005"/>
  </r>
  <r>
    <n v="32"/>
    <s v="female"/>
    <n v="17.765000000000001"/>
    <n v="2"/>
    <x v="0"/>
    <s v="northwest"/>
    <n v="32734.186300000001"/>
  </r>
  <r>
    <n v="38"/>
    <s v="male"/>
    <n v="34.700000000000003"/>
    <n v="2"/>
    <x v="1"/>
    <s v="southwest"/>
    <n v="6082.4049999999997"/>
  </r>
  <r>
    <n v="59"/>
    <s v="female"/>
    <n v="26.504999999999999"/>
    <n v="0"/>
    <x v="1"/>
    <s v="northeast"/>
    <n v="12815.444949999999"/>
  </r>
  <r>
    <n v="61"/>
    <s v="female"/>
    <n v="22.04"/>
    <n v="0"/>
    <x v="1"/>
    <s v="northeast"/>
    <n v="13616.3586"/>
  </r>
  <r>
    <n v="53"/>
    <s v="female"/>
    <n v="35.9"/>
    <n v="2"/>
    <x v="1"/>
    <s v="southwest"/>
    <n v="11163.567999999999"/>
  </r>
  <r>
    <n v="19"/>
    <s v="male"/>
    <n v="25.555"/>
    <n v="0"/>
    <x v="1"/>
    <s v="northwest"/>
    <n v="1632.5644500000001"/>
  </r>
  <r>
    <n v="20"/>
    <s v="female"/>
    <n v="28.785"/>
    <n v="0"/>
    <x v="1"/>
    <s v="northeast"/>
    <n v="2457.2111500000001"/>
  </r>
  <r>
    <n v="22"/>
    <s v="female"/>
    <n v="28.05"/>
    <n v="0"/>
    <x v="1"/>
    <s v="southeast"/>
    <n v="2155.6815000000001"/>
  </r>
  <r>
    <n v="19"/>
    <s v="male"/>
    <n v="34.1"/>
    <n v="0"/>
    <x v="1"/>
    <s v="southwest"/>
    <n v="1261.442"/>
  </r>
  <r>
    <n v="22"/>
    <s v="male"/>
    <n v="25.175000000000001"/>
    <n v="0"/>
    <x v="1"/>
    <s v="northwest"/>
    <n v="2045.68525"/>
  </r>
  <r>
    <n v="54"/>
    <s v="female"/>
    <n v="31.9"/>
    <n v="3"/>
    <x v="1"/>
    <s v="southeast"/>
    <n v="27322.73386"/>
  </r>
  <r>
    <n v="22"/>
    <s v="female"/>
    <n v="36"/>
    <n v="0"/>
    <x v="1"/>
    <s v="southwest"/>
    <n v="2166.732"/>
  </r>
  <r>
    <n v="34"/>
    <s v="male"/>
    <n v="22.42"/>
    <n v="2"/>
    <x v="1"/>
    <s v="northeast"/>
    <n v="27375.904780000001"/>
  </r>
  <r>
    <n v="26"/>
    <s v="male"/>
    <n v="32.49"/>
    <n v="1"/>
    <x v="1"/>
    <s v="northeast"/>
    <n v="3490.5491000000002"/>
  </r>
  <r>
    <n v="34"/>
    <s v="male"/>
    <n v="25.3"/>
    <n v="2"/>
    <x v="0"/>
    <s v="southeast"/>
    <n v="18972.494999999999"/>
  </r>
  <r>
    <n v="29"/>
    <s v="male"/>
    <n v="29.734999999999999"/>
    <n v="2"/>
    <x v="1"/>
    <s v="northwest"/>
    <n v="18157.876"/>
  </r>
  <r>
    <n v="30"/>
    <s v="male"/>
    <n v="28.69"/>
    <n v="3"/>
    <x v="0"/>
    <s v="northwest"/>
    <n v="20745.989099999999"/>
  </r>
  <r>
    <n v="29"/>
    <s v="female"/>
    <n v="38.83"/>
    <n v="3"/>
    <x v="1"/>
    <s v="southeast"/>
    <n v="5138.2566999999999"/>
  </r>
  <r>
    <n v="46"/>
    <s v="male"/>
    <n v="30.495000000000001"/>
    <n v="3"/>
    <x v="0"/>
    <s v="northwest"/>
    <n v="40720.551050000002"/>
  </r>
  <r>
    <n v="51"/>
    <s v="female"/>
    <n v="37.729999999999997"/>
    <n v="1"/>
    <x v="1"/>
    <s v="southeast"/>
    <n v="9877.6077000000005"/>
  </r>
  <r>
    <n v="53"/>
    <s v="female"/>
    <n v="37.43"/>
    <n v="1"/>
    <x v="1"/>
    <s v="northwest"/>
    <n v="10959.6947"/>
  </r>
  <r>
    <n v="19"/>
    <s v="male"/>
    <n v="28.4"/>
    <n v="1"/>
    <x v="1"/>
    <s v="southwest"/>
    <n v="1842.519"/>
  </r>
  <r>
    <n v="35"/>
    <s v="male"/>
    <n v="24.13"/>
    <n v="1"/>
    <x v="1"/>
    <s v="northwest"/>
    <n v="5125.2156999999997"/>
  </r>
  <r>
    <n v="48"/>
    <s v="male"/>
    <n v="29.7"/>
    <n v="0"/>
    <x v="1"/>
    <s v="southeast"/>
    <n v="7789.6350000000002"/>
  </r>
  <r>
    <n v="32"/>
    <s v="female"/>
    <n v="37.145000000000003"/>
    <n v="3"/>
    <x v="1"/>
    <s v="northeast"/>
    <n v="6334.3435499999996"/>
  </r>
  <r>
    <n v="42"/>
    <s v="female"/>
    <n v="23.37"/>
    <n v="0"/>
    <x v="0"/>
    <s v="northeast"/>
    <n v="19964.746299999999"/>
  </r>
  <r>
    <n v="40"/>
    <s v="female"/>
    <n v="25.46"/>
    <n v="1"/>
    <x v="1"/>
    <s v="northeast"/>
    <n v="7077.1894000000002"/>
  </r>
  <r>
    <n v="44"/>
    <s v="male"/>
    <n v="39.520000000000003"/>
    <n v="0"/>
    <x v="1"/>
    <s v="northwest"/>
    <n v="6948.7007999999996"/>
  </r>
  <r>
    <n v="48"/>
    <s v="male"/>
    <n v="24.42"/>
    <n v="0"/>
    <x v="0"/>
    <s v="southeast"/>
    <n v="21223.675800000001"/>
  </r>
  <r>
    <n v="18"/>
    <s v="male"/>
    <n v="25.175000000000001"/>
    <n v="0"/>
    <x v="0"/>
    <s v="northeast"/>
    <n v="15518.180249999999"/>
  </r>
  <r>
    <n v="30"/>
    <s v="male"/>
    <n v="35.53"/>
    <n v="0"/>
    <x v="0"/>
    <s v="southeast"/>
    <n v="36950.256699999998"/>
  </r>
  <r>
    <n v="50"/>
    <s v="female"/>
    <n v="27.83"/>
    <n v="3"/>
    <x v="1"/>
    <s v="southeast"/>
    <n v="19749.383379999999"/>
  </r>
  <r>
    <n v="42"/>
    <s v="female"/>
    <n v="26.6"/>
    <n v="0"/>
    <x v="0"/>
    <s v="northwest"/>
    <n v="21348.705999999998"/>
  </r>
  <r>
    <n v="18"/>
    <s v="female"/>
    <n v="36.85"/>
    <n v="0"/>
    <x v="0"/>
    <s v="southeast"/>
    <n v="36149.483500000002"/>
  </r>
  <r>
    <n v="54"/>
    <s v="male"/>
    <n v="39.6"/>
    <n v="1"/>
    <x v="1"/>
    <s v="southwest"/>
    <n v="10450.552"/>
  </r>
  <r>
    <n v="32"/>
    <s v="female"/>
    <n v="29.8"/>
    <n v="2"/>
    <x v="1"/>
    <s v="southwest"/>
    <n v="5152.134"/>
  </r>
  <r>
    <n v="37"/>
    <s v="male"/>
    <n v="29.64"/>
    <n v="0"/>
    <x v="1"/>
    <s v="northwest"/>
    <n v="5028.1466"/>
  </r>
  <r>
    <n v="47"/>
    <s v="male"/>
    <n v="28.215"/>
    <n v="4"/>
    <x v="1"/>
    <s v="northeast"/>
    <n v="10407.085849999999"/>
  </r>
  <r>
    <n v="20"/>
    <s v="female"/>
    <n v="37"/>
    <n v="5"/>
    <x v="1"/>
    <s v="southwest"/>
    <n v="4830.63"/>
  </r>
  <r>
    <n v="32"/>
    <s v="female"/>
    <n v="33.155000000000001"/>
    <n v="3"/>
    <x v="1"/>
    <s v="northwest"/>
    <n v="6128.79745"/>
  </r>
  <r>
    <n v="19"/>
    <s v="female"/>
    <n v="31.824999999999999"/>
    <n v="1"/>
    <x v="1"/>
    <s v="northwest"/>
    <n v="2719.2797500000001"/>
  </r>
  <r>
    <n v="27"/>
    <s v="male"/>
    <n v="18.905000000000001"/>
    <n v="3"/>
    <x v="1"/>
    <s v="northeast"/>
    <n v="4827.9049500000001"/>
  </r>
  <r>
    <n v="63"/>
    <s v="male"/>
    <n v="41.47"/>
    <n v="0"/>
    <x v="1"/>
    <s v="southeast"/>
    <n v="13405.390299999999"/>
  </r>
  <r>
    <n v="49"/>
    <s v="male"/>
    <n v="30.3"/>
    <n v="0"/>
    <x v="1"/>
    <s v="southwest"/>
    <n v="8116.68"/>
  </r>
  <r>
    <n v="18"/>
    <s v="male"/>
    <n v="15.96"/>
    <n v="0"/>
    <x v="1"/>
    <s v="northeast"/>
    <n v="1694.7963999999999"/>
  </r>
  <r>
    <n v="35"/>
    <s v="female"/>
    <n v="34.799999999999997"/>
    <n v="1"/>
    <x v="1"/>
    <s v="southwest"/>
    <n v="5246.0469999999996"/>
  </r>
  <r>
    <n v="24"/>
    <s v="female"/>
    <n v="33.344999999999999"/>
    <n v="0"/>
    <x v="1"/>
    <s v="northwest"/>
    <n v="2855.4375500000001"/>
  </r>
  <r>
    <n v="63"/>
    <s v="female"/>
    <n v="37.700000000000003"/>
    <n v="0"/>
    <x v="0"/>
    <s v="southwest"/>
    <n v="48824.45"/>
  </r>
  <r>
    <n v="38"/>
    <s v="male"/>
    <n v="27.835000000000001"/>
    <n v="2"/>
    <x v="1"/>
    <s v="northwest"/>
    <n v="6455.86265"/>
  </r>
  <r>
    <n v="54"/>
    <s v="male"/>
    <n v="29.2"/>
    <n v="1"/>
    <x v="1"/>
    <s v="southwest"/>
    <n v="10436.096"/>
  </r>
  <r>
    <n v="46"/>
    <s v="female"/>
    <n v="28.9"/>
    <n v="2"/>
    <x v="1"/>
    <s v="southwest"/>
    <n v="8823.2790000000005"/>
  </r>
  <r>
    <n v="41"/>
    <s v="female"/>
    <n v="33.155000000000001"/>
    <n v="3"/>
    <x v="1"/>
    <s v="northeast"/>
    <n v="8538.28845"/>
  </r>
  <r>
    <n v="58"/>
    <s v="male"/>
    <n v="28.594999999999999"/>
    <n v="0"/>
    <x v="1"/>
    <s v="northwest"/>
    <n v="11735.87905"/>
  </r>
  <r>
    <n v="18"/>
    <s v="female"/>
    <n v="38.28"/>
    <n v="0"/>
    <x v="1"/>
    <s v="southeast"/>
    <n v="1631.8212000000001"/>
  </r>
  <r>
    <n v="22"/>
    <s v="male"/>
    <n v="19.95"/>
    <n v="3"/>
    <x v="1"/>
    <s v="northeast"/>
    <n v="4005.4225000000001"/>
  </r>
  <r>
    <n v="44"/>
    <s v="female"/>
    <n v="26.41"/>
    <n v="0"/>
    <x v="1"/>
    <s v="northwest"/>
    <n v="7419.4778999999999"/>
  </r>
  <r>
    <n v="44"/>
    <s v="male"/>
    <n v="30.69"/>
    <n v="2"/>
    <x v="1"/>
    <s v="southeast"/>
    <n v="7731.4270999999999"/>
  </r>
  <r>
    <n v="36"/>
    <s v="male"/>
    <n v="41.895000000000003"/>
    <n v="3"/>
    <x v="0"/>
    <s v="northeast"/>
    <n v="43753.337050000002"/>
  </r>
  <r>
    <n v="26"/>
    <s v="female"/>
    <n v="29.92"/>
    <n v="2"/>
    <x v="1"/>
    <s v="southeast"/>
    <n v="3981.9767999999999"/>
  </r>
  <r>
    <n v="30"/>
    <s v="female"/>
    <n v="30.9"/>
    <n v="3"/>
    <x v="1"/>
    <s v="southwest"/>
    <n v="5325.6509999999998"/>
  </r>
  <r>
    <n v="41"/>
    <s v="female"/>
    <n v="32.200000000000003"/>
    <n v="1"/>
    <x v="1"/>
    <s v="southwest"/>
    <n v="6775.9610000000002"/>
  </r>
  <r>
    <n v="29"/>
    <s v="female"/>
    <n v="32.11"/>
    <n v="2"/>
    <x v="1"/>
    <s v="northwest"/>
    <n v="4922.9159"/>
  </r>
  <r>
    <n v="61"/>
    <s v="male"/>
    <n v="31.57"/>
    <n v="0"/>
    <x v="1"/>
    <s v="southeast"/>
    <n v="12557.605299999999"/>
  </r>
  <r>
    <n v="36"/>
    <s v="female"/>
    <n v="26.2"/>
    <n v="0"/>
    <x v="1"/>
    <s v="southwest"/>
    <n v="4883.866"/>
  </r>
  <r>
    <n v="25"/>
    <s v="male"/>
    <n v="25.74"/>
    <n v="0"/>
    <x v="1"/>
    <s v="southeast"/>
    <n v="2137.6536000000001"/>
  </r>
  <r>
    <n v="56"/>
    <s v="female"/>
    <n v="26.6"/>
    <n v="1"/>
    <x v="1"/>
    <s v="northwest"/>
    <n v="12044.342000000001"/>
  </r>
  <r>
    <n v="18"/>
    <s v="male"/>
    <n v="34.43"/>
    <n v="0"/>
    <x v="1"/>
    <s v="southeast"/>
    <n v="1137.4697000000001"/>
  </r>
  <r>
    <n v="19"/>
    <s v="male"/>
    <n v="30.59"/>
    <n v="0"/>
    <x v="1"/>
    <s v="northwest"/>
    <n v="1639.5631000000001"/>
  </r>
  <r>
    <n v="39"/>
    <s v="female"/>
    <n v="32.799999999999997"/>
    <n v="0"/>
    <x v="1"/>
    <s v="southwest"/>
    <n v="5649.7150000000001"/>
  </r>
  <r>
    <n v="45"/>
    <s v="female"/>
    <n v="28.6"/>
    <n v="2"/>
    <x v="1"/>
    <s v="southeast"/>
    <n v="8516.8289999999997"/>
  </r>
  <r>
    <n v="51"/>
    <s v="female"/>
    <n v="18.05"/>
    <n v="0"/>
    <x v="1"/>
    <s v="northwest"/>
    <n v="9644.2525000000005"/>
  </r>
  <r>
    <n v="64"/>
    <s v="female"/>
    <n v="39.33"/>
    <n v="0"/>
    <x v="1"/>
    <s v="northeast"/>
    <n v="14901.5167"/>
  </r>
  <r>
    <n v="19"/>
    <s v="female"/>
    <n v="32.11"/>
    <n v="0"/>
    <x v="1"/>
    <s v="northwest"/>
    <n v="2130.6759000000002"/>
  </r>
  <r>
    <n v="48"/>
    <s v="female"/>
    <n v="32.229999999999997"/>
    <n v="1"/>
    <x v="1"/>
    <s v="southeast"/>
    <n v="8871.1517000000003"/>
  </r>
  <r>
    <n v="60"/>
    <s v="female"/>
    <n v="24.035"/>
    <n v="0"/>
    <x v="1"/>
    <s v="northwest"/>
    <n v="13012.20865"/>
  </r>
  <r>
    <n v="27"/>
    <s v="female"/>
    <n v="36.08"/>
    <n v="0"/>
    <x v="0"/>
    <s v="southeast"/>
    <n v="37133.898200000003"/>
  </r>
  <r>
    <n v="46"/>
    <s v="male"/>
    <n v="22.3"/>
    <n v="0"/>
    <x v="1"/>
    <s v="southwest"/>
    <n v="7147.1049999999996"/>
  </r>
  <r>
    <n v="28"/>
    <s v="female"/>
    <n v="28.88"/>
    <n v="1"/>
    <x v="1"/>
    <s v="northeast"/>
    <n v="4337.7352000000001"/>
  </r>
  <r>
    <n v="59"/>
    <s v="male"/>
    <n v="26.4"/>
    <n v="0"/>
    <x v="1"/>
    <s v="southeast"/>
    <n v="11743.299000000001"/>
  </r>
  <r>
    <n v="35"/>
    <s v="male"/>
    <n v="27.74"/>
    <n v="2"/>
    <x v="0"/>
    <s v="northeast"/>
    <n v="20984.0936"/>
  </r>
  <r>
    <n v="63"/>
    <s v="female"/>
    <n v="31.8"/>
    <n v="0"/>
    <x v="1"/>
    <s v="southwest"/>
    <n v="13880.949000000001"/>
  </r>
  <r>
    <n v="40"/>
    <s v="male"/>
    <n v="41.23"/>
    <n v="1"/>
    <x v="1"/>
    <s v="northeast"/>
    <n v="6610.1097"/>
  </r>
  <r>
    <n v="20"/>
    <s v="male"/>
    <n v="33"/>
    <n v="1"/>
    <x v="1"/>
    <s v="southwest"/>
    <n v="1980.07"/>
  </r>
  <r>
    <n v="40"/>
    <s v="male"/>
    <n v="30.875"/>
    <n v="4"/>
    <x v="1"/>
    <s v="northwest"/>
    <n v="8162.7162500000004"/>
  </r>
  <r>
    <n v="24"/>
    <s v="male"/>
    <n v="28.5"/>
    <n v="2"/>
    <x v="1"/>
    <s v="northwest"/>
    <n v="3537.703"/>
  </r>
  <r>
    <n v="34"/>
    <s v="female"/>
    <n v="26.73"/>
    <n v="1"/>
    <x v="1"/>
    <s v="southeast"/>
    <n v="5002.7826999999997"/>
  </r>
  <r>
    <n v="45"/>
    <s v="female"/>
    <n v="30.9"/>
    <n v="2"/>
    <x v="1"/>
    <s v="southwest"/>
    <n v="8520.0259999999998"/>
  </r>
  <r>
    <n v="41"/>
    <s v="female"/>
    <n v="37.1"/>
    <n v="2"/>
    <x v="1"/>
    <s v="southwest"/>
    <n v="7371.7719999999999"/>
  </r>
  <r>
    <n v="53"/>
    <s v="female"/>
    <n v="26.6"/>
    <n v="0"/>
    <x v="1"/>
    <s v="northwest"/>
    <n v="10355.641"/>
  </r>
  <r>
    <n v="27"/>
    <s v="male"/>
    <n v="23.1"/>
    <n v="0"/>
    <x v="1"/>
    <s v="southeast"/>
    <n v="2483.7359999999999"/>
  </r>
  <r>
    <n v="26"/>
    <s v="female"/>
    <n v="29.92"/>
    <n v="1"/>
    <x v="1"/>
    <s v="southeast"/>
    <n v="3392.9767999999999"/>
  </r>
  <r>
    <n v="24"/>
    <s v="female"/>
    <n v="23.21"/>
    <n v="0"/>
    <x v="1"/>
    <s v="southeast"/>
    <n v="25081.76784"/>
  </r>
  <r>
    <n v="34"/>
    <s v="female"/>
    <n v="33.700000000000003"/>
    <n v="1"/>
    <x v="1"/>
    <s v="southwest"/>
    <n v="5012.4709999999995"/>
  </r>
  <r>
    <n v="53"/>
    <s v="female"/>
    <n v="33.25"/>
    <n v="0"/>
    <x v="1"/>
    <s v="northeast"/>
    <n v="10564.8845"/>
  </r>
  <r>
    <n v="32"/>
    <s v="male"/>
    <n v="30.8"/>
    <n v="3"/>
    <x v="1"/>
    <s v="southwest"/>
    <n v="5253.5240000000003"/>
  </r>
  <r>
    <n v="19"/>
    <s v="male"/>
    <n v="34.799999999999997"/>
    <n v="0"/>
    <x v="0"/>
    <s v="southwest"/>
    <n v="34779.614999999998"/>
  </r>
  <r>
    <n v="42"/>
    <s v="male"/>
    <n v="24.64"/>
    <n v="0"/>
    <x v="0"/>
    <s v="southeast"/>
    <n v="19515.5416"/>
  </r>
  <r>
    <n v="55"/>
    <s v="male"/>
    <n v="33.880000000000003"/>
    <n v="3"/>
    <x v="1"/>
    <s v="southeast"/>
    <n v="11987.1682"/>
  </r>
  <r>
    <n v="28"/>
    <s v="male"/>
    <n v="38.06"/>
    <n v="0"/>
    <x v="1"/>
    <s v="southeast"/>
    <n v="2689.4953999999998"/>
  </r>
  <r>
    <n v="58"/>
    <s v="female"/>
    <n v="41.91"/>
    <n v="0"/>
    <x v="1"/>
    <s v="southeast"/>
    <n v="24227.337240000001"/>
  </r>
  <r>
    <n v="41"/>
    <s v="female"/>
    <n v="31.635000000000002"/>
    <n v="1"/>
    <x v="1"/>
    <s v="northeast"/>
    <n v="7358.1756500000001"/>
  </r>
  <r>
    <n v="47"/>
    <s v="male"/>
    <n v="25.46"/>
    <n v="2"/>
    <x v="1"/>
    <s v="northeast"/>
    <n v="9225.2564000000002"/>
  </r>
  <r>
    <n v="42"/>
    <s v="female"/>
    <n v="36.195"/>
    <n v="1"/>
    <x v="1"/>
    <s v="northwest"/>
    <n v="7443.6430499999997"/>
  </r>
  <r>
    <n v="59"/>
    <s v="female"/>
    <n v="27.83"/>
    <n v="3"/>
    <x v="1"/>
    <s v="southeast"/>
    <n v="14001.286700000001"/>
  </r>
  <r>
    <n v="19"/>
    <s v="female"/>
    <n v="17.8"/>
    <n v="0"/>
    <x v="1"/>
    <s v="southwest"/>
    <n v="1727.7850000000001"/>
  </r>
  <r>
    <n v="59"/>
    <s v="male"/>
    <n v="27.5"/>
    <n v="1"/>
    <x v="1"/>
    <s v="southwest"/>
    <n v="12333.828"/>
  </r>
  <r>
    <n v="39"/>
    <s v="male"/>
    <n v="24.51"/>
    <n v="2"/>
    <x v="1"/>
    <s v="northwest"/>
    <n v="6710.1918999999998"/>
  </r>
  <r>
    <n v="40"/>
    <s v="female"/>
    <n v="22.22"/>
    <n v="2"/>
    <x v="0"/>
    <s v="southeast"/>
    <n v="19444.265800000001"/>
  </r>
  <r>
    <n v="18"/>
    <s v="female"/>
    <n v="26.73"/>
    <n v="0"/>
    <x v="1"/>
    <s v="southeast"/>
    <n v="1615.7666999999999"/>
  </r>
  <r>
    <n v="31"/>
    <s v="male"/>
    <n v="38.39"/>
    <n v="2"/>
    <x v="1"/>
    <s v="southeast"/>
    <n v="4463.2051000000001"/>
  </r>
  <r>
    <n v="19"/>
    <s v="male"/>
    <n v="29.07"/>
    <n v="0"/>
    <x v="0"/>
    <s v="northwest"/>
    <n v="17352.6803"/>
  </r>
  <r>
    <n v="44"/>
    <s v="male"/>
    <n v="38.06"/>
    <n v="1"/>
    <x v="1"/>
    <s v="southeast"/>
    <n v="7152.6714000000002"/>
  </r>
  <r>
    <n v="23"/>
    <s v="female"/>
    <n v="36.67"/>
    <n v="2"/>
    <x v="0"/>
    <s v="northeast"/>
    <n v="38511.628299999997"/>
  </r>
  <r>
    <n v="33"/>
    <s v="female"/>
    <n v="22.135000000000002"/>
    <n v="1"/>
    <x v="1"/>
    <s v="northeast"/>
    <n v="5354.0746499999996"/>
  </r>
  <r>
    <n v="55"/>
    <s v="female"/>
    <n v="26.8"/>
    <n v="1"/>
    <x v="1"/>
    <s v="southwest"/>
    <n v="35160.134570000002"/>
  </r>
  <r>
    <n v="40"/>
    <s v="male"/>
    <n v="35.299999999999997"/>
    <n v="3"/>
    <x v="1"/>
    <s v="southwest"/>
    <n v="7196.8670000000002"/>
  </r>
  <r>
    <n v="63"/>
    <s v="female"/>
    <n v="27.74"/>
    <n v="0"/>
    <x v="0"/>
    <s v="northeast"/>
    <n v="29523.1656"/>
  </r>
  <r>
    <n v="54"/>
    <s v="male"/>
    <n v="30.02"/>
    <n v="0"/>
    <x v="1"/>
    <s v="northwest"/>
    <n v="24476.478510000001"/>
  </r>
  <r>
    <n v="60"/>
    <s v="female"/>
    <n v="38.06"/>
    <n v="0"/>
    <x v="1"/>
    <s v="southeast"/>
    <n v="12648.7034"/>
  </r>
  <r>
    <n v="24"/>
    <s v="male"/>
    <n v="35.86"/>
    <n v="0"/>
    <x v="1"/>
    <s v="southeast"/>
    <n v="1986.9333999999999"/>
  </r>
  <r>
    <n v="19"/>
    <s v="male"/>
    <n v="20.9"/>
    <n v="1"/>
    <x v="1"/>
    <s v="southwest"/>
    <n v="1832.0940000000001"/>
  </r>
  <r>
    <n v="29"/>
    <s v="male"/>
    <n v="28.975000000000001"/>
    <n v="1"/>
    <x v="1"/>
    <s v="northeast"/>
    <n v="4040.55825"/>
  </r>
  <r>
    <n v="18"/>
    <s v="male"/>
    <n v="17.29"/>
    <n v="2"/>
    <x v="0"/>
    <s v="northeast"/>
    <n v="12829.455099999999"/>
  </r>
  <r>
    <n v="63"/>
    <s v="female"/>
    <n v="32.200000000000003"/>
    <n v="2"/>
    <x v="0"/>
    <s v="southwest"/>
    <n v="47305.305"/>
  </r>
  <r>
    <n v="54"/>
    <s v="male"/>
    <n v="34.21"/>
    <n v="2"/>
    <x v="0"/>
    <s v="southeast"/>
    <n v="44260.749900000003"/>
  </r>
  <r>
    <n v="27"/>
    <s v="male"/>
    <n v="30.3"/>
    <n v="3"/>
    <x v="1"/>
    <s v="southwest"/>
    <n v="4260.7439999999997"/>
  </r>
  <r>
    <n v="50"/>
    <s v="male"/>
    <n v="31.824999999999999"/>
    <n v="0"/>
    <x v="0"/>
    <s v="northeast"/>
    <n v="41097.161749999999"/>
  </r>
  <r>
    <n v="55"/>
    <s v="female"/>
    <n v="25.364999999999998"/>
    <n v="3"/>
    <x v="1"/>
    <s v="northeast"/>
    <n v="13047.332350000001"/>
  </r>
  <r>
    <n v="56"/>
    <s v="male"/>
    <n v="33.630000000000003"/>
    <n v="0"/>
    <x v="0"/>
    <s v="northwest"/>
    <n v="43921.183700000001"/>
  </r>
  <r>
    <n v="38"/>
    <s v="female"/>
    <n v="40.15"/>
    <n v="0"/>
    <x v="1"/>
    <s v="southeast"/>
    <n v="5400.9804999999997"/>
  </r>
  <r>
    <n v="51"/>
    <s v="male"/>
    <n v="24.414999999999999"/>
    <n v="4"/>
    <x v="1"/>
    <s v="northwest"/>
    <n v="11520.099850000001"/>
  </r>
  <r>
    <n v="19"/>
    <s v="male"/>
    <n v="31.92"/>
    <n v="0"/>
    <x v="0"/>
    <s v="northwest"/>
    <n v="33750.291799999999"/>
  </r>
  <r>
    <n v="58"/>
    <s v="female"/>
    <n v="25.2"/>
    <n v="0"/>
    <x v="1"/>
    <s v="southwest"/>
    <n v="11837.16"/>
  </r>
  <r>
    <n v="20"/>
    <s v="female"/>
    <n v="26.84"/>
    <n v="1"/>
    <x v="0"/>
    <s v="southeast"/>
    <n v="17085.267599999999"/>
  </r>
  <r>
    <n v="52"/>
    <s v="male"/>
    <n v="24.32"/>
    <n v="3"/>
    <x v="0"/>
    <s v="northeast"/>
    <n v="24869.836800000001"/>
  </r>
  <r>
    <n v="19"/>
    <s v="male"/>
    <n v="36.954999999999998"/>
    <n v="0"/>
    <x v="0"/>
    <s v="northwest"/>
    <n v="36219.405449999998"/>
  </r>
  <r>
    <n v="53"/>
    <s v="female"/>
    <n v="38.06"/>
    <n v="3"/>
    <x v="1"/>
    <s v="southeast"/>
    <n v="20462.997660000001"/>
  </r>
  <r>
    <n v="46"/>
    <s v="male"/>
    <n v="42.35"/>
    <n v="3"/>
    <x v="0"/>
    <s v="southeast"/>
    <n v="46151.124499999998"/>
  </r>
  <r>
    <n v="40"/>
    <s v="male"/>
    <n v="19.8"/>
    <n v="1"/>
    <x v="0"/>
    <s v="southeast"/>
    <n v="17179.522000000001"/>
  </r>
  <r>
    <n v="59"/>
    <s v="female"/>
    <n v="32.395000000000003"/>
    <n v="3"/>
    <x v="1"/>
    <s v="northeast"/>
    <n v="14590.63205"/>
  </r>
  <r>
    <n v="45"/>
    <s v="male"/>
    <n v="30.2"/>
    <n v="1"/>
    <x v="1"/>
    <s v="southwest"/>
    <n v="7441.0529999999999"/>
  </r>
  <r>
    <n v="49"/>
    <s v="male"/>
    <n v="25.84"/>
    <n v="1"/>
    <x v="1"/>
    <s v="northeast"/>
    <n v="9282.4806000000008"/>
  </r>
  <r>
    <n v="18"/>
    <s v="male"/>
    <n v="29.37"/>
    <n v="1"/>
    <x v="1"/>
    <s v="southeast"/>
    <n v="1719.4363000000001"/>
  </r>
  <r>
    <n v="50"/>
    <s v="male"/>
    <n v="34.200000000000003"/>
    <n v="2"/>
    <x v="0"/>
    <s v="southwest"/>
    <n v="42856.838000000003"/>
  </r>
  <r>
    <n v="41"/>
    <s v="male"/>
    <n v="37.049999999999997"/>
    <n v="2"/>
    <x v="1"/>
    <s v="northwest"/>
    <n v="7265.7025000000003"/>
  </r>
  <r>
    <n v="50"/>
    <s v="male"/>
    <n v="27.454999999999998"/>
    <n v="1"/>
    <x v="1"/>
    <s v="northeast"/>
    <n v="9617.6624499999998"/>
  </r>
  <r>
    <n v="25"/>
    <s v="male"/>
    <n v="27.55"/>
    <n v="0"/>
    <x v="1"/>
    <s v="northwest"/>
    <n v="2523.1695"/>
  </r>
  <r>
    <n v="47"/>
    <s v="female"/>
    <n v="26.6"/>
    <n v="2"/>
    <x v="1"/>
    <s v="northeast"/>
    <n v="9715.8410000000003"/>
  </r>
  <r>
    <n v="19"/>
    <s v="male"/>
    <n v="20.614999999999998"/>
    <n v="2"/>
    <x v="1"/>
    <s v="northwest"/>
    <n v="2803.69785"/>
  </r>
  <r>
    <n v="22"/>
    <s v="female"/>
    <n v="24.3"/>
    <n v="0"/>
    <x v="1"/>
    <s v="southwest"/>
    <n v="2150.4690000000001"/>
  </r>
  <r>
    <n v="59"/>
    <s v="male"/>
    <n v="31.79"/>
    <n v="2"/>
    <x v="1"/>
    <s v="southeast"/>
    <n v="12928.7911"/>
  </r>
  <r>
    <n v="51"/>
    <s v="female"/>
    <n v="21.56"/>
    <n v="1"/>
    <x v="1"/>
    <s v="southeast"/>
    <n v="9855.1314000000002"/>
  </r>
  <r>
    <n v="40"/>
    <s v="female"/>
    <n v="28.12"/>
    <n v="1"/>
    <x v="0"/>
    <s v="northeast"/>
    <n v="22331.566800000001"/>
  </r>
  <r>
    <n v="54"/>
    <s v="male"/>
    <n v="40.564999999999998"/>
    <n v="3"/>
    <x v="0"/>
    <s v="northeast"/>
    <n v="48549.178350000002"/>
  </r>
  <r>
    <n v="30"/>
    <s v="male"/>
    <n v="27.645"/>
    <n v="1"/>
    <x v="1"/>
    <s v="northeast"/>
    <n v="4237.12655"/>
  </r>
  <r>
    <n v="55"/>
    <s v="female"/>
    <n v="32.395000000000003"/>
    <n v="1"/>
    <x v="1"/>
    <s v="northeast"/>
    <n v="11879.10405"/>
  </r>
  <r>
    <n v="52"/>
    <s v="female"/>
    <n v="31.2"/>
    <n v="0"/>
    <x v="1"/>
    <s v="southwest"/>
    <n v="9625.92"/>
  </r>
  <r>
    <n v="46"/>
    <s v="male"/>
    <n v="26.62"/>
    <n v="1"/>
    <x v="1"/>
    <s v="southeast"/>
    <n v="7742.1098000000002"/>
  </r>
  <r>
    <n v="46"/>
    <s v="female"/>
    <n v="48.07"/>
    <n v="2"/>
    <x v="1"/>
    <s v="northeast"/>
    <n v="9432.9253000000008"/>
  </r>
  <r>
    <n v="63"/>
    <s v="female"/>
    <n v="26.22"/>
    <n v="0"/>
    <x v="1"/>
    <s v="northwest"/>
    <n v="14256.192800000001"/>
  </r>
  <r>
    <n v="59"/>
    <s v="female"/>
    <n v="36.765000000000001"/>
    <n v="1"/>
    <x v="0"/>
    <s v="northeast"/>
    <n v="47896.79135"/>
  </r>
  <r>
    <n v="52"/>
    <s v="male"/>
    <n v="26.4"/>
    <n v="3"/>
    <x v="1"/>
    <s v="southeast"/>
    <n v="25992.821039999999"/>
  </r>
  <r>
    <n v="28"/>
    <s v="female"/>
    <n v="33.4"/>
    <n v="0"/>
    <x v="1"/>
    <s v="southwest"/>
    <n v="3172.018"/>
  </r>
  <r>
    <n v="29"/>
    <s v="male"/>
    <n v="29.64"/>
    <n v="1"/>
    <x v="1"/>
    <s v="northeast"/>
    <n v="20277.807509999999"/>
  </r>
  <r>
    <n v="25"/>
    <s v="male"/>
    <n v="45.54"/>
    <n v="2"/>
    <x v="0"/>
    <s v="southeast"/>
    <n v="42112.2356"/>
  </r>
  <r>
    <n v="22"/>
    <s v="female"/>
    <n v="28.82"/>
    <n v="0"/>
    <x v="1"/>
    <s v="southeast"/>
    <n v="2156.7518"/>
  </r>
  <r>
    <n v="25"/>
    <s v="male"/>
    <n v="26.8"/>
    <n v="3"/>
    <x v="1"/>
    <s v="southwest"/>
    <n v="3906.127"/>
  </r>
  <r>
    <n v="18"/>
    <s v="male"/>
    <n v="22.99"/>
    <n v="0"/>
    <x v="1"/>
    <s v="northeast"/>
    <n v="1704.5681"/>
  </r>
  <r>
    <n v="19"/>
    <s v="male"/>
    <n v="27.7"/>
    <n v="0"/>
    <x v="0"/>
    <s v="southwest"/>
    <n v="16297.846"/>
  </r>
  <r>
    <n v="47"/>
    <s v="male"/>
    <n v="25.41"/>
    <n v="1"/>
    <x v="0"/>
    <s v="southeast"/>
    <n v="21978.676899999999"/>
  </r>
  <r>
    <n v="31"/>
    <s v="male"/>
    <n v="34.39"/>
    <n v="3"/>
    <x v="0"/>
    <s v="northwest"/>
    <n v="38746.355100000001"/>
  </r>
  <r>
    <n v="48"/>
    <s v="female"/>
    <n v="28.88"/>
    <n v="1"/>
    <x v="1"/>
    <s v="northwest"/>
    <n v="9249.4951999999994"/>
  </r>
  <r>
    <n v="36"/>
    <s v="male"/>
    <n v="27.55"/>
    <n v="3"/>
    <x v="1"/>
    <s v="northeast"/>
    <n v="6746.7425000000003"/>
  </r>
  <r>
    <n v="53"/>
    <s v="female"/>
    <n v="22.61"/>
    <n v="3"/>
    <x v="0"/>
    <s v="northeast"/>
    <n v="24873.384900000001"/>
  </r>
  <r>
    <n v="56"/>
    <s v="female"/>
    <n v="37.51"/>
    <n v="2"/>
    <x v="1"/>
    <s v="southeast"/>
    <n v="12265.5069"/>
  </r>
  <r>
    <n v="28"/>
    <s v="female"/>
    <n v="33"/>
    <n v="2"/>
    <x v="1"/>
    <s v="southeast"/>
    <n v="4349.4620000000004"/>
  </r>
  <r>
    <n v="57"/>
    <s v="female"/>
    <n v="38"/>
    <n v="2"/>
    <x v="1"/>
    <s v="southwest"/>
    <n v="12646.207"/>
  </r>
  <r>
    <n v="29"/>
    <s v="male"/>
    <n v="33.344999999999999"/>
    <n v="2"/>
    <x v="1"/>
    <s v="northwest"/>
    <n v="19442.353500000001"/>
  </r>
  <r>
    <n v="28"/>
    <s v="female"/>
    <n v="27.5"/>
    <n v="2"/>
    <x v="1"/>
    <s v="southwest"/>
    <n v="20177.671129999999"/>
  </r>
  <r>
    <n v="30"/>
    <s v="female"/>
    <n v="33.33"/>
    <n v="1"/>
    <x v="1"/>
    <s v="southeast"/>
    <n v="4151.0286999999998"/>
  </r>
  <r>
    <n v="58"/>
    <s v="male"/>
    <n v="34.865000000000002"/>
    <n v="0"/>
    <x v="1"/>
    <s v="northeast"/>
    <n v="11944.594349999999"/>
  </r>
  <r>
    <n v="41"/>
    <s v="female"/>
    <n v="33.06"/>
    <n v="2"/>
    <x v="1"/>
    <s v="northwest"/>
    <n v="7749.1563999999998"/>
  </r>
  <r>
    <n v="50"/>
    <s v="male"/>
    <n v="26.6"/>
    <n v="0"/>
    <x v="1"/>
    <s v="southwest"/>
    <n v="8444.4740000000002"/>
  </r>
  <r>
    <n v="19"/>
    <s v="female"/>
    <n v="24.7"/>
    <n v="0"/>
    <x v="1"/>
    <s v="southwest"/>
    <n v="1737.376"/>
  </r>
  <r>
    <n v="43"/>
    <s v="male"/>
    <n v="35.97"/>
    <n v="3"/>
    <x v="0"/>
    <s v="southeast"/>
    <n v="42124.515299999999"/>
  </r>
  <r>
    <n v="49"/>
    <s v="male"/>
    <n v="35.86"/>
    <n v="0"/>
    <x v="1"/>
    <s v="southeast"/>
    <n v="8124.4084000000003"/>
  </r>
  <r>
    <n v="27"/>
    <s v="female"/>
    <n v="31.4"/>
    <n v="0"/>
    <x v="0"/>
    <s v="southwest"/>
    <n v="34838.873"/>
  </r>
  <r>
    <n v="52"/>
    <s v="male"/>
    <n v="33.25"/>
    <n v="0"/>
    <x v="1"/>
    <s v="northeast"/>
    <n v="9722.7695000000003"/>
  </r>
  <r>
    <n v="50"/>
    <s v="male"/>
    <n v="32.204999999999998"/>
    <n v="0"/>
    <x v="1"/>
    <s v="northwest"/>
    <n v="8835.2649500000007"/>
  </r>
  <r>
    <n v="54"/>
    <s v="male"/>
    <n v="32.774999999999999"/>
    <n v="0"/>
    <x v="1"/>
    <s v="northeast"/>
    <n v="10435.06525"/>
  </r>
  <r>
    <n v="44"/>
    <s v="female"/>
    <n v="27.645"/>
    <n v="0"/>
    <x v="1"/>
    <s v="northwest"/>
    <n v="7421.1945500000002"/>
  </r>
  <r>
    <n v="32"/>
    <s v="male"/>
    <n v="37.335000000000001"/>
    <n v="1"/>
    <x v="1"/>
    <s v="northeast"/>
    <n v="4667.6076499999999"/>
  </r>
  <r>
    <n v="34"/>
    <s v="male"/>
    <n v="25.27"/>
    <n v="1"/>
    <x v="1"/>
    <s v="northwest"/>
    <n v="4894.7533000000003"/>
  </r>
  <r>
    <n v="26"/>
    <s v="female"/>
    <n v="29.64"/>
    <n v="4"/>
    <x v="1"/>
    <s v="northeast"/>
    <n v="24671.663339999999"/>
  </r>
  <r>
    <n v="34"/>
    <s v="male"/>
    <n v="30.8"/>
    <n v="0"/>
    <x v="0"/>
    <s v="southwest"/>
    <n v="35491.64"/>
  </r>
  <r>
    <n v="57"/>
    <s v="male"/>
    <n v="40.945"/>
    <n v="0"/>
    <x v="1"/>
    <s v="northeast"/>
    <n v="11566.30055"/>
  </r>
  <r>
    <n v="29"/>
    <s v="male"/>
    <n v="27.2"/>
    <n v="0"/>
    <x v="1"/>
    <s v="southwest"/>
    <n v="2866.0909999999999"/>
  </r>
  <r>
    <n v="40"/>
    <s v="male"/>
    <n v="34.104999999999997"/>
    <n v="1"/>
    <x v="1"/>
    <s v="northeast"/>
    <n v="6600.2059499999996"/>
  </r>
  <r>
    <n v="27"/>
    <s v="female"/>
    <n v="23.21"/>
    <n v="1"/>
    <x v="1"/>
    <s v="southeast"/>
    <n v="3561.8888999999999"/>
  </r>
  <r>
    <n v="45"/>
    <s v="male"/>
    <n v="36.479999999999997"/>
    <n v="2"/>
    <x v="0"/>
    <s v="northwest"/>
    <n v="42760.502200000003"/>
  </r>
  <r>
    <n v="64"/>
    <s v="female"/>
    <n v="33.799999999999997"/>
    <n v="1"/>
    <x v="0"/>
    <s v="southwest"/>
    <n v="47928.03"/>
  </r>
  <r>
    <n v="52"/>
    <s v="male"/>
    <n v="36.700000000000003"/>
    <n v="0"/>
    <x v="1"/>
    <s v="southwest"/>
    <n v="9144.5650000000005"/>
  </r>
  <r>
    <n v="61"/>
    <s v="female"/>
    <n v="36.384999999999998"/>
    <n v="1"/>
    <x v="0"/>
    <s v="northeast"/>
    <n v="48517.563150000002"/>
  </r>
  <r>
    <n v="52"/>
    <s v="male"/>
    <n v="27.36"/>
    <n v="0"/>
    <x v="0"/>
    <s v="northwest"/>
    <n v="24393.6224"/>
  </r>
  <r>
    <n v="61"/>
    <s v="female"/>
    <n v="31.16"/>
    <n v="0"/>
    <x v="1"/>
    <s v="northwest"/>
    <n v="13429.035400000001"/>
  </r>
  <r>
    <n v="56"/>
    <s v="female"/>
    <n v="28.785"/>
    <n v="0"/>
    <x v="1"/>
    <s v="northeast"/>
    <n v="11658.379150000001"/>
  </r>
  <r>
    <n v="43"/>
    <s v="female"/>
    <n v="35.72"/>
    <n v="2"/>
    <x v="1"/>
    <s v="northeast"/>
    <n v="19144.576519999999"/>
  </r>
  <r>
    <n v="64"/>
    <s v="male"/>
    <n v="34.5"/>
    <n v="0"/>
    <x v="1"/>
    <s v="southwest"/>
    <n v="13822.803"/>
  </r>
  <r>
    <n v="60"/>
    <s v="male"/>
    <n v="25.74"/>
    <n v="0"/>
    <x v="1"/>
    <s v="southeast"/>
    <n v="12142.578600000001"/>
  </r>
  <r>
    <n v="62"/>
    <s v="male"/>
    <n v="27.55"/>
    <n v="1"/>
    <x v="1"/>
    <s v="northwest"/>
    <n v="13937.666499999999"/>
  </r>
  <r>
    <n v="50"/>
    <s v="male"/>
    <n v="32.299999999999997"/>
    <n v="1"/>
    <x v="0"/>
    <s v="northeast"/>
    <n v="41919.097000000002"/>
  </r>
  <r>
    <n v="46"/>
    <s v="female"/>
    <n v="27.72"/>
    <n v="1"/>
    <x v="1"/>
    <s v="southeast"/>
    <n v="8232.6388000000006"/>
  </r>
  <r>
    <n v="24"/>
    <s v="female"/>
    <n v="27.6"/>
    <n v="0"/>
    <x v="1"/>
    <s v="southwest"/>
    <n v="18955.220170000001"/>
  </r>
  <r>
    <n v="62"/>
    <s v="male"/>
    <n v="30.02"/>
    <n v="0"/>
    <x v="1"/>
    <s v="northwest"/>
    <n v="13352.0998"/>
  </r>
  <r>
    <n v="60"/>
    <s v="female"/>
    <n v="27.55"/>
    <n v="0"/>
    <x v="1"/>
    <s v="northeast"/>
    <n v="13217.094499999999"/>
  </r>
  <r>
    <n v="63"/>
    <s v="male"/>
    <n v="36.765000000000001"/>
    <n v="0"/>
    <x v="1"/>
    <s v="northeast"/>
    <n v="13981.850350000001"/>
  </r>
  <r>
    <n v="49"/>
    <s v="female"/>
    <n v="41.47"/>
    <n v="4"/>
    <x v="1"/>
    <s v="southeast"/>
    <n v="10977.2063"/>
  </r>
  <r>
    <n v="34"/>
    <s v="female"/>
    <n v="29.26"/>
    <n v="3"/>
    <x v="1"/>
    <s v="southeast"/>
    <n v="6184.2993999999999"/>
  </r>
  <r>
    <n v="33"/>
    <s v="male"/>
    <n v="35.75"/>
    <n v="2"/>
    <x v="1"/>
    <s v="southeast"/>
    <n v="4889.9994999999999"/>
  </r>
  <r>
    <n v="46"/>
    <s v="male"/>
    <n v="33.344999999999999"/>
    <n v="1"/>
    <x v="1"/>
    <s v="northeast"/>
    <n v="8334.4575499999992"/>
  </r>
  <r>
    <n v="36"/>
    <s v="female"/>
    <n v="29.92"/>
    <n v="1"/>
    <x v="1"/>
    <s v="southeast"/>
    <n v="5478.0367999999999"/>
  </r>
  <r>
    <n v="19"/>
    <s v="male"/>
    <n v="27.835000000000001"/>
    <n v="0"/>
    <x v="1"/>
    <s v="northwest"/>
    <n v="1635.7336499999999"/>
  </r>
  <r>
    <n v="57"/>
    <s v="female"/>
    <n v="23.18"/>
    <n v="0"/>
    <x v="1"/>
    <s v="northwest"/>
    <n v="11830.6072"/>
  </r>
  <r>
    <n v="50"/>
    <s v="female"/>
    <n v="25.6"/>
    <n v="0"/>
    <x v="1"/>
    <s v="southwest"/>
    <n v="8932.0840000000007"/>
  </r>
  <r>
    <n v="30"/>
    <s v="female"/>
    <n v="27.7"/>
    <n v="0"/>
    <x v="1"/>
    <s v="southwest"/>
    <n v="3554.203"/>
  </r>
  <r>
    <n v="33"/>
    <s v="male"/>
    <n v="35.244999999999997"/>
    <n v="0"/>
    <x v="1"/>
    <s v="northeast"/>
    <n v="12404.8791"/>
  </r>
  <r>
    <n v="18"/>
    <s v="female"/>
    <n v="38.28"/>
    <n v="0"/>
    <x v="1"/>
    <s v="southeast"/>
    <n v="14133.03775"/>
  </r>
  <r>
    <n v="46"/>
    <s v="male"/>
    <n v="27.6"/>
    <n v="0"/>
    <x v="1"/>
    <s v="southwest"/>
    <n v="24603.04837"/>
  </r>
  <r>
    <n v="46"/>
    <s v="male"/>
    <n v="43.89"/>
    <n v="3"/>
    <x v="1"/>
    <s v="southeast"/>
    <n v="8944.1151000000009"/>
  </r>
  <r>
    <n v="47"/>
    <s v="male"/>
    <n v="29.83"/>
    <n v="3"/>
    <x v="1"/>
    <s v="northwest"/>
    <n v="9620.3307000000004"/>
  </r>
  <r>
    <n v="23"/>
    <s v="male"/>
    <n v="41.91"/>
    <n v="0"/>
    <x v="1"/>
    <s v="southeast"/>
    <n v="1837.2819"/>
  </r>
  <r>
    <n v="18"/>
    <s v="female"/>
    <n v="20.79"/>
    <n v="0"/>
    <x v="1"/>
    <s v="southeast"/>
    <n v="1607.5101"/>
  </r>
  <r>
    <n v="48"/>
    <s v="female"/>
    <n v="32.299999999999997"/>
    <n v="2"/>
    <x v="1"/>
    <s v="northeast"/>
    <n v="10043.249"/>
  </r>
  <r>
    <n v="35"/>
    <s v="male"/>
    <n v="30.5"/>
    <n v="1"/>
    <x v="1"/>
    <s v="southwest"/>
    <n v="4751.07"/>
  </r>
  <r>
    <n v="19"/>
    <s v="female"/>
    <n v="21.7"/>
    <n v="0"/>
    <x v="0"/>
    <s v="southwest"/>
    <n v="13844.505999999999"/>
  </r>
  <r>
    <n v="21"/>
    <s v="female"/>
    <n v="26.4"/>
    <n v="1"/>
    <x v="1"/>
    <s v="southwest"/>
    <n v="2597.779"/>
  </r>
  <r>
    <n v="21"/>
    <s v="female"/>
    <n v="21.89"/>
    <n v="2"/>
    <x v="1"/>
    <s v="southeast"/>
    <n v="3180.5101"/>
  </r>
  <r>
    <n v="49"/>
    <s v="female"/>
    <n v="30.78"/>
    <n v="1"/>
    <x v="1"/>
    <s v="northeast"/>
    <n v="9778.3472000000002"/>
  </r>
  <r>
    <n v="56"/>
    <s v="female"/>
    <n v="32.299999999999997"/>
    <n v="3"/>
    <x v="1"/>
    <s v="northeast"/>
    <n v="13430.264999999999"/>
  </r>
  <r>
    <n v="42"/>
    <s v="female"/>
    <n v="24.984999999999999"/>
    <n v="2"/>
    <x v="1"/>
    <s v="northwest"/>
    <n v="8017.0611500000005"/>
  </r>
  <r>
    <n v="44"/>
    <s v="male"/>
    <n v="32.015000000000001"/>
    <n v="2"/>
    <x v="1"/>
    <s v="northwest"/>
    <n v="8116.2688500000004"/>
  </r>
  <r>
    <n v="18"/>
    <s v="male"/>
    <n v="30.4"/>
    <n v="3"/>
    <x v="1"/>
    <s v="northeast"/>
    <n v="3481.8679999999999"/>
  </r>
  <r>
    <n v="61"/>
    <s v="female"/>
    <n v="21.09"/>
    <n v="0"/>
    <x v="1"/>
    <s v="northwest"/>
    <n v="13415.0381"/>
  </r>
  <r>
    <n v="57"/>
    <s v="female"/>
    <n v="22.23"/>
    <n v="0"/>
    <x v="1"/>
    <s v="northeast"/>
    <n v="12029.286700000001"/>
  </r>
  <r>
    <n v="42"/>
    <s v="female"/>
    <n v="33.155000000000001"/>
    <n v="1"/>
    <x v="1"/>
    <s v="northeast"/>
    <n v="7639.4174499999999"/>
  </r>
  <r>
    <n v="26"/>
    <s v="male"/>
    <n v="32.9"/>
    <n v="2"/>
    <x v="0"/>
    <s v="southwest"/>
    <n v="36085.218999999997"/>
  </r>
  <r>
    <n v="20"/>
    <s v="male"/>
    <n v="33.33"/>
    <n v="0"/>
    <x v="1"/>
    <s v="southeast"/>
    <n v="1391.5287000000001"/>
  </r>
  <r>
    <n v="23"/>
    <s v="female"/>
    <n v="28.31"/>
    <n v="0"/>
    <x v="0"/>
    <s v="northwest"/>
    <n v="18033.9679"/>
  </r>
  <r>
    <n v="39"/>
    <s v="female"/>
    <n v="24.89"/>
    <n v="3"/>
    <x v="0"/>
    <s v="northeast"/>
    <n v="21659.930100000001"/>
  </r>
  <r>
    <n v="24"/>
    <s v="male"/>
    <n v="40.15"/>
    <n v="0"/>
    <x v="0"/>
    <s v="southeast"/>
    <n v="38126.246500000001"/>
  </r>
  <r>
    <n v="64"/>
    <s v="female"/>
    <n v="30.114999999999998"/>
    <n v="3"/>
    <x v="1"/>
    <s v="northwest"/>
    <n v="16455.707849999999"/>
  </r>
  <r>
    <n v="62"/>
    <s v="male"/>
    <n v="31.46"/>
    <n v="1"/>
    <x v="1"/>
    <s v="southeast"/>
    <n v="27000.98473"/>
  </r>
  <r>
    <n v="27"/>
    <s v="female"/>
    <n v="17.954999999999998"/>
    <n v="2"/>
    <x v="0"/>
    <s v="northeast"/>
    <n v="15006.579449999999"/>
  </r>
  <r>
    <n v="55"/>
    <s v="male"/>
    <n v="30.684999999999999"/>
    <n v="0"/>
    <x v="0"/>
    <s v="northeast"/>
    <n v="42303.692150000003"/>
  </r>
  <r>
    <n v="55"/>
    <s v="male"/>
    <n v="33"/>
    <n v="0"/>
    <x v="1"/>
    <s v="southeast"/>
    <n v="20781.48892"/>
  </r>
  <r>
    <n v="35"/>
    <s v="female"/>
    <n v="43.34"/>
    <n v="2"/>
    <x v="1"/>
    <s v="southeast"/>
    <n v="5846.9175999999998"/>
  </r>
  <r>
    <n v="44"/>
    <s v="male"/>
    <n v="22.135000000000002"/>
    <n v="2"/>
    <x v="1"/>
    <s v="northeast"/>
    <n v="8302.5356499999998"/>
  </r>
  <r>
    <n v="19"/>
    <s v="male"/>
    <n v="34.4"/>
    <n v="0"/>
    <x v="1"/>
    <s v="southwest"/>
    <n v="1261.8589999999999"/>
  </r>
  <r>
    <n v="58"/>
    <s v="female"/>
    <n v="39.049999999999997"/>
    <n v="0"/>
    <x v="1"/>
    <s v="southeast"/>
    <n v="11856.4115"/>
  </r>
  <r>
    <n v="50"/>
    <s v="male"/>
    <n v="25.364999999999998"/>
    <n v="2"/>
    <x v="1"/>
    <s v="northwest"/>
    <n v="30284.642940000002"/>
  </r>
  <r>
    <n v="26"/>
    <s v="female"/>
    <n v="22.61"/>
    <n v="0"/>
    <x v="1"/>
    <s v="northwest"/>
    <n v="3176.8159000000001"/>
  </r>
  <r>
    <n v="24"/>
    <s v="female"/>
    <n v="30.21"/>
    <n v="3"/>
    <x v="1"/>
    <s v="northwest"/>
    <n v="4618.0798999999997"/>
  </r>
  <r>
    <n v="48"/>
    <s v="male"/>
    <n v="35.625"/>
    <n v="4"/>
    <x v="1"/>
    <s v="northeast"/>
    <n v="10736.87075"/>
  </r>
  <r>
    <n v="19"/>
    <s v="female"/>
    <n v="37.43"/>
    <n v="0"/>
    <x v="1"/>
    <s v="northwest"/>
    <n v="2138.0707000000002"/>
  </r>
  <r>
    <n v="48"/>
    <s v="male"/>
    <n v="31.445"/>
    <n v="1"/>
    <x v="1"/>
    <s v="northeast"/>
    <n v="8964.0605500000001"/>
  </r>
  <r>
    <n v="49"/>
    <s v="male"/>
    <n v="31.35"/>
    <n v="1"/>
    <x v="1"/>
    <s v="northeast"/>
    <n v="9290.1394999999993"/>
  </r>
  <r>
    <n v="46"/>
    <s v="female"/>
    <n v="32.299999999999997"/>
    <n v="2"/>
    <x v="1"/>
    <s v="northeast"/>
    <n v="9411.0049999999992"/>
  </r>
  <r>
    <n v="46"/>
    <s v="male"/>
    <n v="19.855"/>
    <n v="0"/>
    <x v="1"/>
    <s v="northwest"/>
    <n v="7526.7064499999997"/>
  </r>
  <r>
    <n v="43"/>
    <s v="female"/>
    <n v="34.4"/>
    <n v="3"/>
    <x v="1"/>
    <s v="southwest"/>
    <n v="8522.0030000000006"/>
  </r>
  <r>
    <n v="21"/>
    <s v="male"/>
    <n v="31.02"/>
    <n v="0"/>
    <x v="1"/>
    <s v="southeast"/>
    <n v="16586.49771"/>
  </r>
  <r>
    <n v="64"/>
    <s v="male"/>
    <n v="25.6"/>
    <n v="2"/>
    <x v="1"/>
    <s v="southwest"/>
    <n v="14988.432000000001"/>
  </r>
  <r>
    <n v="18"/>
    <s v="female"/>
    <n v="38.17"/>
    <n v="0"/>
    <x v="1"/>
    <s v="southeast"/>
    <n v="1631.6683"/>
  </r>
  <r>
    <n v="51"/>
    <s v="female"/>
    <n v="20.6"/>
    <n v="0"/>
    <x v="1"/>
    <s v="southwest"/>
    <n v="9264.7970000000005"/>
  </r>
  <r>
    <n v="47"/>
    <s v="male"/>
    <n v="47.52"/>
    <n v="1"/>
    <x v="1"/>
    <s v="southeast"/>
    <n v="8083.9197999999997"/>
  </r>
  <r>
    <n v="64"/>
    <s v="female"/>
    <n v="32.965000000000003"/>
    <n v="0"/>
    <x v="1"/>
    <s v="northwest"/>
    <n v="14692.66935"/>
  </r>
  <r>
    <n v="49"/>
    <s v="male"/>
    <n v="32.299999999999997"/>
    <n v="3"/>
    <x v="1"/>
    <s v="northwest"/>
    <n v="10269.459999999999"/>
  </r>
  <r>
    <n v="31"/>
    <s v="male"/>
    <n v="20.399999999999999"/>
    <n v="0"/>
    <x v="1"/>
    <s v="southwest"/>
    <n v="3260.1990000000001"/>
  </r>
  <r>
    <n v="52"/>
    <s v="female"/>
    <n v="38.380000000000003"/>
    <n v="2"/>
    <x v="1"/>
    <s v="northeast"/>
    <n v="11396.9002"/>
  </r>
  <r>
    <n v="33"/>
    <s v="female"/>
    <n v="24.31"/>
    <n v="0"/>
    <x v="1"/>
    <s v="southeast"/>
    <n v="4185.0978999999998"/>
  </r>
  <r>
    <n v="47"/>
    <s v="female"/>
    <n v="23.6"/>
    <n v="1"/>
    <x v="1"/>
    <s v="southwest"/>
    <n v="8539.6710000000003"/>
  </r>
  <r>
    <n v="38"/>
    <s v="male"/>
    <n v="21.12"/>
    <n v="3"/>
    <x v="1"/>
    <s v="southeast"/>
    <n v="6652.5288"/>
  </r>
  <r>
    <n v="32"/>
    <s v="male"/>
    <n v="30.03"/>
    <n v="1"/>
    <x v="1"/>
    <s v="southeast"/>
    <n v="4074.4537"/>
  </r>
  <r>
    <n v="19"/>
    <s v="male"/>
    <n v="17.48"/>
    <n v="0"/>
    <x v="1"/>
    <s v="northwest"/>
    <n v="1621.3402000000001"/>
  </r>
  <r>
    <n v="44"/>
    <s v="female"/>
    <n v="20.234999999999999"/>
    <n v="1"/>
    <x v="0"/>
    <s v="northeast"/>
    <n v="19594.809649999999"/>
  </r>
  <r>
    <n v="26"/>
    <s v="female"/>
    <n v="17.195"/>
    <n v="2"/>
    <x v="0"/>
    <s v="northeast"/>
    <n v="14455.644050000001"/>
  </r>
  <r>
    <n v="25"/>
    <s v="male"/>
    <n v="23.9"/>
    <n v="5"/>
    <x v="1"/>
    <s v="southwest"/>
    <n v="5080.0959999999995"/>
  </r>
  <r>
    <n v="19"/>
    <s v="female"/>
    <n v="35.15"/>
    <n v="0"/>
    <x v="1"/>
    <s v="northwest"/>
    <n v="2134.9014999999999"/>
  </r>
  <r>
    <n v="43"/>
    <s v="female"/>
    <n v="35.64"/>
    <n v="1"/>
    <x v="1"/>
    <s v="southeast"/>
    <n v="7345.7266"/>
  </r>
  <r>
    <n v="52"/>
    <s v="male"/>
    <n v="34.1"/>
    <n v="0"/>
    <x v="1"/>
    <s v="southeast"/>
    <n v="9140.9509999999991"/>
  </r>
  <r>
    <n v="36"/>
    <s v="female"/>
    <n v="22.6"/>
    <n v="2"/>
    <x v="0"/>
    <s v="southwest"/>
    <n v="18608.261999999999"/>
  </r>
  <r>
    <n v="64"/>
    <s v="male"/>
    <n v="39.159999999999997"/>
    <n v="1"/>
    <x v="1"/>
    <s v="southeast"/>
    <n v="14418.2804"/>
  </r>
  <r>
    <n v="63"/>
    <s v="female"/>
    <n v="26.98"/>
    <n v="0"/>
    <x v="0"/>
    <s v="northwest"/>
    <n v="28950.4692"/>
  </r>
  <r>
    <n v="64"/>
    <s v="male"/>
    <n v="33.880000000000003"/>
    <n v="0"/>
    <x v="0"/>
    <s v="southeast"/>
    <n v="46889.261200000001"/>
  </r>
  <r>
    <n v="61"/>
    <s v="male"/>
    <n v="35.86"/>
    <n v="0"/>
    <x v="0"/>
    <s v="southeast"/>
    <n v="46599.108399999997"/>
  </r>
  <r>
    <n v="40"/>
    <s v="male"/>
    <n v="32.774999999999999"/>
    <n v="1"/>
    <x v="0"/>
    <s v="northeast"/>
    <n v="39125.332249999999"/>
  </r>
  <r>
    <n v="25"/>
    <s v="male"/>
    <n v="30.59"/>
    <n v="0"/>
    <x v="1"/>
    <s v="northeast"/>
    <n v="2727.3951000000002"/>
  </r>
  <r>
    <n v="48"/>
    <s v="male"/>
    <n v="30.2"/>
    <n v="2"/>
    <x v="1"/>
    <s v="southwest"/>
    <n v="8968.33"/>
  </r>
  <r>
    <n v="45"/>
    <s v="male"/>
    <n v="24.31"/>
    <n v="5"/>
    <x v="1"/>
    <s v="southeast"/>
    <n v="9788.8659000000007"/>
  </r>
  <r>
    <n v="38"/>
    <s v="female"/>
    <n v="27.265000000000001"/>
    <n v="1"/>
    <x v="1"/>
    <s v="northeast"/>
    <n v="6555.07035"/>
  </r>
  <r>
    <n v="18"/>
    <s v="female"/>
    <n v="29.164999999999999"/>
    <n v="0"/>
    <x v="1"/>
    <s v="northeast"/>
    <n v="7323.7348190000002"/>
  </r>
  <r>
    <n v="21"/>
    <s v="female"/>
    <n v="16.815000000000001"/>
    <n v="1"/>
    <x v="1"/>
    <s v="northeast"/>
    <n v="3167.4558499999998"/>
  </r>
  <r>
    <n v="27"/>
    <s v="female"/>
    <n v="30.4"/>
    <n v="3"/>
    <x v="1"/>
    <s v="northwest"/>
    <n v="18804.752400000001"/>
  </r>
  <r>
    <n v="19"/>
    <s v="male"/>
    <n v="33.1"/>
    <n v="0"/>
    <x v="1"/>
    <s v="southwest"/>
    <n v="23082.955330000001"/>
  </r>
  <r>
    <n v="29"/>
    <s v="female"/>
    <n v="20.234999999999999"/>
    <n v="2"/>
    <x v="1"/>
    <s v="northwest"/>
    <n v="4906.4096499999996"/>
  </r>
  <r>
    <n v="42"/>
    <s v="male"/>
    <n v="26.9"/>
    <n v="0"/>
    <x v="1"/>
    <s v="southwest"/>
    <n v="5969.723"/>
  </r>
  <r>
    <n v="60"/>
    <s v="female"/>
    <n v="30.5"/>
    <n v="0"/>
    <x v="1"/>
    <s v="southwest"/>
    <n v="12638.195"/>
  </r>
  <r>
    <n v="31"/>
    <s v="male"/>
    <n v="28.594999999999999"/>
    <n v="1"/>
    <x v="1"/>
    <s v="northwest"/>
    <n v="4243.5900499999998"/>
  </r>
  <r>
    <n v="60"/>
    <s v="male"/>
    <n v="33.11"/>
    <n v="3"/>
    <x v="1"/>
    <s v="southeast"/>
    <n v="13919.822899999999"/>
  </r>
  <r>
    <n v="22"/>
    <s v="male"/>
    <n v="31.73"/>
    <n v="0"/>
    <x v="1"/>
    <s v="northeast"/>
    <n v="2254.7966999999999"/>
  </r>
  <r>
    <n v="35"/>
    <s v="male"/>
    <n v="28.9"/>
    <n v="3"/>
    <x v="1"/>
    <s v="southwest"/>
    <n v="5926.8459999999995"/>
  </r>
  <r>
    <n v="52"/>
    <s v="female"/>
    <n v="46.75"/>
    <n v="5"/>
    <x v="1"/>
    <s v="southeast"/>
    <n v="12592.5345"/>
  </r>
  <r>
    <n v="26"/>
    <s v="male"/>
    <n v="29.45"/>
    <n v="0"/>
    <x v="1"/>
    <s v="northeast"/>
    <n v="2897.3235"/>
  </r>
  <r>
    <n v="31"/>
    <s v="female"/>
    <n v="32.68"/>
    <n v="1"/>
    <x v="1"/>
    <s v="northwest"/>
    <n v="4738.2682000000004"/>
  </r>
  <r>
    <n v="33"/>
    <s v="female"/>
    <n v="33.5"/>
    <n v="0"/>
    <x v="0"/>
    <s v="southwest"/>
    <n v="37079.372000000003"/>
  </r>
  <r>
    <n v="18"/>
    <s v="male"/>
    <n v="43.01"/>
    <n v="0"/>
    <x v="1"/>
    <s v="southeast"/>
    <n v="1149.3959"/>
  </r>
  <r>
    <n v="59"/>
    <s v="female"/>
    <n v="36.520000000000003"/>
    <n v="1"/>
    <x v="1"/>
    <s v="southeast"/>
    <n v="28287.897659999999"/>
  </r>
  <r>
    <n v="56"/>
    <s v="male"/>
    <n v="26.695"/>
    <n v="1"/>
    <x v="0"/>
    <s v="northwest"/>
    <n v="26109.32905"/>
  </r>
  <r>
    <n v="45"/>
    <s v="female"/>
    <n v="33.1"/>
    <n v="0"/>
    <x v="1"/>
    <s v="southwest"/>
    <n v="7345.0839999999998"/>
  </r>
  <r>
    <n v="60"/>
    <s v="male"/>
    <n v="29.64"/>
    <n v="0"/>
    <x v="1"/>
    <s v="northeast"/>
    <n v="12730.999599999999"/>
  </r>
  <r>
    <n v="56"/>
    <s v="female"/>
    <n v="25.65"/>
    <n v="0"/>
    <x v="1"/>
    <s v="northwest"/>
    <n v="11454.021500000001"/>
  </r>
  <r>
    <n v="40"/>
    <s v="female"/>
    <n v="29.6"/>
    <n v="0"/>
    <x v="1"/>
    <s v="southwest"/>
    <n v="5910.9440000000004"/>
  </r>
  <r>
    <n v="35"/>
    <s v="male"/>
    <n v="38.6"/>
    <n v="1"/>
    <x v="1"/>
    <s v="southwest"/>
    <n v="4762.3289999999997"/>
  </r>
  <r>
    <n v="39"/>
    <s v="male"/>
    <n v="29.6"/>
    <n v="4"/>
    <x v="1"/>
    <s v="southwest"/>
    <n v="7512.2669999999998"/>
  </r>
  <r>
    <n v="30"/>
    <s v="male"/>
    <n v="24.13"/>
    <n v="1"/>
    <x v="1"/>
    <s v="northwest"/>
    <n v="4032.2406999999998"/>
  </r>
  <r>
    <n v="24"/>
    <s v="male"/>
    <n v="23.4"/>
    <n v="0"/>
    <x v="1"/>
    <s v="southwest"/>
    <n v="1969.614"/>
  </r>
  <r>
    <n v="20"/>
    <s v="male"/>
    <n v="29.734999999999999"/>
    <n v="0"/>
    <x v="1"/>
    <s v="northwest"/>
    <n v="1769.5316499999999"/>
  </r>
  <r>
    <n v="32"/>
    <s v="male"/>
    <n v="46.53"/>
    <n v="2"/>
    <x v="1"/>
    <s v="southeast"/>
    <n v="4686.3887000000004"/>
  </r>
  <r>
    <n v="59"/>
    <s v="male"/>
    <n v="37.4"/>
    <n v="0"/>
    <x v="1"/>
    <s v="southwest"/>
    <n v="21797.000400000001"/>
  </r>
  <r>
    <n v="55"/>
    <s v="female"/>
    <n v="30.14"/>
    <n v="2"/>
    <x v="1"/>
    <s v="southeast"/>
    <n v="11881.9696"/>
  </r>
  <r>
    <n v="57"/>
    <s v="female"/>
    <n v="30.495000000000001"/>
    <n v="0"/>
    <x v="1"/>
    <s v="northwest"/>
    <n v="11840.77505"/>
  </r>
  <r>
    <n v="56"/>
    <s v="male"/>
    <n v="39.6"/>
    <n v="0"/>
    <x v="1"/>
    <s v="southwest"/>
    <n v="10601.412"/>
  </r>
  <r>
    <n v="40"/>
    <s v="female"/>
    <n v="33"/>
    <n v="3"/>
    <x v="1"/>
    <s v="southeast"/>
    <n v="7682.67"/>
  </r>
  <r>
    <n v="49"/>
    <s v="female"/>
    <n v="36.630000000000003"/>
    <n v="3"/>
    <x v="1"/>
    <s v="southeast"/>
    <n v="10381.4787"/>
  </r>
  <r>
    <n v="42"/>
    <s v="male"/>
    <n v="30"/>
    <n v="0"/>
    <x v="0"/>
    <s v="southwest"/>
    <n v="22144.031999999999"/>
  </r>
  <r>
    <n v="62"/>
    <s v="female"/>
    <n v="38.094999999999999"/>
    <n v="2"/>
    <x v="1"/>
    <s v="northeast"/>
    <n v="15230.324049999999"/>
  </r>
  <r>
    <n v="56"/>
    <s v="male"/>
    <n v="25.934999999999999"/>
    <n v="0"/>
    <x v="1"/>
    <s v="northeast"/>
    <n v="11165.417649999999"/>
  </r>
  <r>
    <n v="19"/>
    <s v="male"/>
    <n v="25.175000000000001"/>
    <n v="0"/>
    <x v="1"/>
    <s v="northwest"/>
    <n v="1632.0362500000001"/>
  </r>
  <r>
    <n v="30"/>
    <s v="female"/>
    <n v="28.38"/>
    <n v="1"/>
    <x v="0"/>
    <s v="southeast"/>
    <n v="19521.968199999999"/>
  </r>
  <r>
    <n v="60"/>
    <s v="female"/>
    <n v="28.7"/>
    <n v="1"/>
    <x v="1"/>
    <s v="southwest"/>
    <n v="13224.692999999999"/>
  </r>
  <r>
    <n v="56"/>
    <s v="female"/>
    <n v="33.82"/>
    <n v="2"/>
    <x v="1"/>
    <s v="northwest"/>
    <n v="12643.3778"/>
  </r>
  <r>
    <n v="28"/>
    <s v="female"/>
    <n v="24.32"/>
    <n v="1"/>
    <x v="1"/>
    <s v="northeast"/>
    <n v="23288.928400000001"/>
  </r>
  <r>
    <n v="18"/>
    <s v="female"/>
    <n v="24.09"/>
    <n v="1"/>
    <x v="1"/>
    <s v="southeast"/>
    <n v="2201.0971"/>
  </r>
  <r>
    <n v="27"/>
    <s v="male"/>
    <n v="32.67"/>
    <n v="0"/>
    <x v="1"/>
    <s v="southeast"/>
    <n v="2497.0383000000002"/>
  </r>
  <r>
    <n v="18"/>
    <s v="female"/>
    <n v="30.114999999999998"/>
    <n v="0"/>
    <x v="1"/>
    <s v="northeast"/>
    <n v="2203.4718499999999"/>
  </r>
  <r>
    <n v="19"/>
    <s v="female"/>
    <n v="29.8"/>
    <n v="0"/>
    <x v="1"/>
    <s v="southwest"/>
    <n v="1744.4649999999999"/>
  </r>
  <r>
    <n v="47"/>
    <s v="female"/>
    <n v="33.344999999999999"/>
    <n v="0"/>
    <x v="1"/>
    <s v="northeast"/>
    <n v="20878.78443"/>
  </r>
  <r>
    <n v="54"/>
    <s v="male"/>
    <n v="25.1"/>
    <n v="3"/>
    <x v="0"/>
    <s v="southwest"/>
    <n v="25382.296999999999"/>
  </r>
  <r>
    <n v="61"/>
    <s v="male"/>
    <n v="28.31"/>
    <n v="1"/>
    <x v="0"/>
    <s v="northwest"/>
    <n v="28868.6639"/>
  </r>
  <r>
    <n v="24"/>
    <s v="male"/>
    <n v="28.5"/>
    <n v="0"/>
    <x v="0"/>
    <s v="northeast"/>
    <n v="35147.528480000001"/>
  </r>
  <r>
    <n v="25"/>
    <s v="male"/>
    <n v="35.625"/>
    <n v="0"/>
    <x v="1"/>
    <s v="northwest"/>
    <n v="2534.3937500000002"/>
  </r>
  <r>
    <n v="21"/>
    <s v="male"/>
    <n v="36.85"/>
    <n v="0"/>
    <x v="1"/>
    <s v="southeast"/>
    <n v="1534.3045"/>
  </r>
  <r>
    <n v="23"/>
    <s v="male"/>
    <n v="32.56"/>
    <n v="0"/>
    <x v="1"/>
    <s v="southeast"/>
    <n v="1824.2854"/>
  </r>
  <r>
    <n v="63"/>
    <s v="male"/>
    <n v="41.325000000000003"/>
    <n v="3"/>
    <x v="1"/>
    <s v="northwest"/>
    <n v="15555.188749999999"/>
  </r>
  <r>
    <n v="49"/>
    <s v="male"/>
    <n v="37.51"/>
    <n v="2"/>
    <x v="1"/>
    <s v="southeast"/>
    <n v="9304.7019"/>
  </r>
  <r>
    <n v="18"/>
    <s v="female"/>
    <n v="31.35"/>
    <n v="0"/>
    <x v="1"/>
    <s v="southeast"/>
    <n v="1622.1885"/>
  </r>
  <r>
    <n v="51"/>
    <s v="female"/>
    <n v="39.5"/>
    <n v="1"/>
    <x v="1"/>
    <s v="southwest"/>
    <n v="9880.0679999999993"/>
  </r>
  <r>
    <n v="48"/>
    <s v="male"/>
    <n v="34.299999999999997"/>
    <n v="3"/>
    <x v="1"/>
    <s v="southwest"/>
    <n v="9563.0290000000005"/>
  </r>
  <r>
    <n v="31"/>
    <s v="female"/>
    <n v="31.065000000000001"/>
    <n v="0"/>
    <x v="1"/>
    <s v="northeast"/>
    <n v="4347.0233500000004"/>
  </r>
  <r>
    <n v="54"/>
    <s v="female"/>
    <n v="21.47"/>
    <n v="3"/>
    <x v="1"/>
    <s v="northwest"/>
    <n v="12475.3513"/>
  </r>
  <r>
    <n v="19"/>
    <s v="male"/>
    <n v="28.7"/>
    <n v="0"/>
    <x v="1"/>
    <s v="southwest"/>
    <n v="1253.9359999999999"/>
  </r>
  <r>
    <n v="44"/>
    <s v="female"/>
    <n v="38.06"/>
    <n v="0"/>
    <x v="0"/>
    <s v="southeast"/>
    <n v="48885.135609999998"/>
  </r>
  <r>
    <n v="53"/>
    <s v="male"/>
    <n v="31.16"/>
    <n v="1"/>
    <x v="1"/>
    <s v="northwest"/>
    <n v="10461.9794"/>
  </r>
  <r>
    <n v="19"/>
    <s v="female"/>
    <n v="32.9"/>
    <n v="0"/>
    <x v="1"/>
    <s v="southwest"/>
    <n v="1748.7739999999999"/>
  </r>
  <r>
    <n v="61"/>
    <s v="female"/>
    <n v="25.08"/>
    <n v="0"/>
    <x v="1"/>
    <s v="southeast"/>
    <n v="24513.091260000001"/>
  </r>
  <r>
    <n v="18"/>
    <s v="female"/>
    <n v="25.08"/>
    <n v="0"/>
    <x v="1"/>
    <s v="northeast"/>
    <n v="2196.4731999999999"/>
  </r>
  <r>
    <n v="61"/>
    <s v="male"/>
    <n v="43.4"/>
    <n v="0"/>
    <x v="1"/>
    <s v="southwest"/>
    <n v="12574.049000000001"/>
  </r>
  <r>
    <n v="21"/>
    <s v="male"/>
    <n v="25.7"/>
    <n v="4"/>
    <x v="0"/>
    <s v="southwest"/>
    <n v="17942.106"/>
  </r>
  <r>
    <n v="20"/>
    <s v="male"/>
    <n v="27.93"/>
    <n v="0"/>
    <x v="1"/>
    <s v="northeast"/>
    <n v="1967.0227"/>
  </r>
  <r>
    <n v="31"/>
    <s v="female"/>
    <n v="23.6"/>
    <n v="2"/>
    <x v="1"/>
    <s v="southwest"/>
    <n v="4931.6469999999999"/>
  </r>
  <r>
    <n v="45"/>
    <s v="male"/>
    <n v="28.7"/>
    <n v="2"/>
    <x v="1"/>
    <s v="southwest"/>
    <n v="8027.9679999999998"/>
  </r>
  <r>
    <n v="44"/>
    <s v="female"/>
    <n v="23.98"/>
    <n v="2"/>
    <x v="1"/>
    <s v="southeast"/>
    <n v="8211.1002000000008"/>
  </r>
  <r>
    <n v="62"/>
    <s v="female"/>
    <n v="39.200000000000003"/>
    <n v="0"/>
    <x v="1"/>
    <s v="southwest"/>
    <n v="13470.86"/>
  </r>
  <r>
    <n v="29"/>
    <s v="male"/>
    <n v="34.4"/>
    <n v="0"/>
    <x v="0"/>
    <s v="southwest"/>
    <n v="36197.699000000001"/>
  </r>
  <r>
    <n v="43"/>
    <s v="male"/>
    <n v="26.03"/>
    <n v="0"/>
    <x v="1"/>
    <s v="northeast"/>
    <n v="6837.3687"/>
  </r>
  <r>
    <n v="51"/>
    <s v="male"/>
    <n v="23.21"/>
    <n v="1"/>
    <x v="0"/>
    <s v="southeast"/>
    <n v="22218.1149"/>
  </r>
  <r>
    <n v="19"/>
    <s v="male"/>
    <n v="30.25"/>
    <n v="0"/>
    <x v="0"/>
    <s v="southeast"/>
    <n v="32548.340499999998"/>
  </r>
  <r>
    <n v="38"/>
    <s v="female"/>
    <n v="28.93"/>
    <n v="1"/>
    <x v="1"/>
    <s v="southeast"/>
    <n v="5974.3846999999996"/>
  </r>
  <r>
    <n v="37"/>
    <s v="male"/>
    <n v="30.875"/>
    <n v="3"/>
    <x v="1"/>
    <s v="northwest"/>
    <n v="6796.8632500000003"/>
  </r>
  <r>
    <n v="22"/>
    <s v="male"/>
    <n v="31.35"/>
    <n v="1"/>
    <x v="1"/>
    <s v="northwest"/>
    <n v="2643.2685000000001"/>
  </r>
  <r>
    <n v="21"/>
    <s v="male"/>
    <n v="23.75"/>
    <n v="2"/>
    <x v="1"/>
    <s v="northwest"/>
    <n v="3077.0954999999999"/>
  </r>
  <r>
    <n v="24"/>
    <s v="female"/>
    <n v="25.27"/>
    <n v="0"/>
    <x v="1"/>
    <s v="northeast"/>
    <n v="3044.2132999999999"/>
  </r>
  <r>
    <n v="57"/>
    <s v="female"/>
    <n v="28.7"/>
    <n v="0"/>
    <x v="1"/>
    <s v="southwest"/>
    <n v="11455.28"/>
  </r>
  <r>
    <n v="56"/>
    <s v="male"/>
    <n v="32.11"/>
    <n v="1"/>
    <x v="1"/>
    <s v="northeast"/>
    <n v="11763.000899999999"/>
  </r>
  <r>
    <n v="27"/>
    <s v="male"/>
    <n v="33.659999999999997"/>
    <n v="0"/>
    <x v="1"/>
    <s v="southeast"/>
    <n v="2498.4144000000001"/>
  </r>
  <r>
    <n v="51"/>
    <s v="male"/>
    <n v="22.42"/>
    <n v="0"/>
    <x v="1"/>
    <s v="northeast"/>
    <n v="9361.3268000000007"/>
  </r>
  <r>
    <n v="19"/>
    <s v="male"/>
    <n v="30.4"/>
    <n v="0"/>
    <x v="1"/>
    <s v="southwest"/>
    <n v="1256.299"/>
  </r>
  <r>
    <n v="39"/>
    <s v="male"/>
    <n v="28.3"/>
    <n v="1"/>
    <x v="0"/>
    <s v="southwest"/>
    <n v="21082.16"/>
  </r>
  <r>
    <n v="58"/>
    <s v="male"/>
    <n v="35.700000000000003"/>
    <n v="0"/>
    <x v="1"/>
    <s v="southwest"/>
    <n v="11362.754999999999"/>
  </r>
  <r>
    <n v="20"/>
    <s v="male"/>
    <n v="35.31"/>
    <n v="1"/>
    <x v="1"/>
    <s v="southeast"/>
    <n v="27724.28875"/>
  </r>
  <r>
    <n v="45"/>
    <s v="male"/>
    <n v="30.495000000000001"/>
    <n v="2"/>
    <x v="1"/>
    <s v="northwest"/>
    <n v="8413.4630500000003"/>
  </r>
  <r>
    <n v="35"/>
    <s v="female"/>
    <n v="31"/>
    <n v="1"/>
    <x v="1"/>
    <s v="southwest"/>
    <n v="5240.7650000000003"/>
  </r>
  <r>
    <n v="31"/>
    <s v="male"/>
    <n v="30.875"/>
    <n v="0"/>
    <x v="1"/>
    <s v="northeast"/>
    <n v="3857.7592500000001"/>
  </r>
  <r>
    <n v="50"/>
    <s v="female"/>
    <n v="27.36"/>
    <n v="0"/>
    <x v="1"/>
    <s v="northeast"/>
    <n v="25656.575260000001"/>
  </r>
  <r>
    <n v="32"/>
    <s v="female"/>
    <n v="44.22"/>
    <n v="0"/>
    <x v="1"/>
    <s v="southeast"/>
    <n v="3994.1777999999999"/>
  </r>
  <r>
    <n v="51"/>
    <s v="female"/>
    <n v="33.914999999999999"/>
    <n v="0"/>
    <x v="1"/>
    <s v="northeast"/>
    <n v="9866.3048500000004"/>
  </r>
  <r>
    <n v="38"/>
    <s v="female"/>
    <n v="37.729999999999997"/>
    <n v="0"/>
    <x v="1"/>
    <s v="southeast"/>
    <n v="5397.6166999999996"/>
  </r>
  <r>
    <n v="42"/>
    <s v="male"/>
    <n v="26.07"/>
    <n v="1"/>
    <x v="0"/>
    <s v="southeast"/>
    <n v="38245.593269999998"/>
  </r>
  <r>
    <n v="18"/>
    <s v="female"/>
    <n v="33.880000000000003"/>
    <n v="0"/>
    <x v="1"/>
    <s v="southeast"/>
    <n v="11482.63485"/>
  </r>
  <r>
    <n v="19"/>
    <s v="female"/>
    <n v="30.59"/>
    <n v="2"/>
    <x v="1"/>
    <s v="northwest"/>
    <n v="24059.680189999999"/>
  </r>
  <r>
    <n v="51"/>
    <s v="female"/>
    <n v="25.8"/>
    <n v="1"/>
    <x v="1"/>
    <s v="southwest"/>
    <n v="9861.0249999999996"/>
  </r>
  <r>
    <n v="46"/>
    <s v="male"/>
    <n v="39.424999999999997"/>
    <n v="1"/>
    <x v="1"/>
    <s v="northeast"/>
    <n v="8342.9087500000005"/>
  </r>
  <r>
    <n v="18"/>
    <s v="male"/>
    <n v="25.46"/>
    <n v="0"/>
    <x v="1"/>
    <s v="northeast"/>
    <n v="1708.0014000000001"/>
  </r>
  <r>
    <n v="57"/>
    <s v="male"/>
    <n v="42.13"/>
    <n v="1"/>
    <x v="0"/>
    <s v="southeast"/>
    <n v="48675.517699999997"/>
  </r>
  <r>
    <n v="62"/>
    <s v="female"/>
    <n v="31.73"/>
    <n v="0"/>
    <x v="1"/>
    <s v="northeast"/>
    <n v="14043.476699999999"/>
  </r>
  <r>
    <n v="59"/>
    <s v="male"/>
    <n v="29.7"/>
    <n v="2"/>
    <x v="1"/>
    <s v="southeast"/>
    <n v="12925.886"/>
  </r>
  <r>
    <n v="37"/>
    <s v="male"/>
    <n v="36.19"/>
    <n v="0"/>
    <x v="1"/>
    <s v="southeast"/>
    <n v="19214.705529999999"/>
  </r>
  <r>
    <n v="64"/>
    <s v="male"/>
    <n v="40.479999999999997"/>
    <n v="0"/>
    <x v="1"/>
    <s v="southeast"/>
    <n v="13831.1152"/>
  </r>
  <r>
    <n v="38"/>
    <s v="male"/>
    <n v="28.024999999999999"/>
    <n v="1"/>
    <x v="1"/>
    <s v="northeast"/>
    <n v="6067.1267500000004"/>
  </r>
  <r>
    <n v="33"/>
    <s v="female"/>
    <n v="38.9"/>
    <n v="3"/>
    <x v="1"/>
    <s v="southwest"/>
    <n v="5972.3779999999997"/>
  </r>
  <r>
    <n v="46"/>
    <s v="female"/>
    <n v="30.2"/>
    <n v="2"/>
    <x v="1"/>
    <s v="southwest"/>
    <n v="8825.0859999999993"/>
  </r>
  <r>
    <n v="46"/>
    <s v="female"/>
    <n v="28.05"/>
    <n v="1"/>
    <x v="1"/>
    <s v="southeast"/>
    <n v="8233.0974999999999"/>
  </r>
  <r>
    <n v="53"/>
    <s v="male"/>
    <n v="31.35"/>
    <n v="0"/>
    <x v="1"/>
    <s v="southeast"/>
    <n v="27346.04207"/>
  </r>
  <r>
    <n v="34"/>
    <s v="female"/>
    <n v="38"/>
    <n v="3"/>
    <x v="1"/>
    <s v="southwest"/>
    <n v="6196.4480000000003"/>
  </r>
  <r>
    <n v="20"/>
    <s v="female"/>
    <n v="31.79"/>
    <n v="2"/>
    <x v="1"/>
    <s v="southeast"/>
    <n v="3056.3881000000001"/>
  </r>
  <r>
    <n v="63"/>
    <s v="female"/>
    <n v="36.299999999999997"/>
    <n v="0"/>
    <x v="1"/>
    <s v="southeast"/>
    <n v="13887.204"/>
  </r>
  <r>
    <n v="54"/>
    <s v="female"/>
    <n v="47.41"/>
    <n v="0"/>
    <x v="0"/>
    <s v="southeast"/>
    <n v="63770.428010000003"/>
  </r>
  <r>
    <n v="54"/>
    <s v="male"/>
    <n v="30.21"/>
    <n v="0"/>
    <x v="1"/>
    <s v="northwest"/>
    <n v="10231.499900000001"/>
  </r>
  <r>
    <n v="49"/>
    <s v="male"/>
    <n v="25.84"/>
    <n v="2"/>
    <x v="0"/>
    <s v="northwest"/>
    <n v="23807.240600000001"/>
  </r>
  <r>
    <n v="28"/>
    <s v="male"/>
    <n v="35.435000000000002"/>
    <n v="0"/>
    <x v="1"/>
    <s v="northeast"/>
    <n v="3268.84665"/>
  </r>
  <r>
    <n v="54"/>
    <s v="female"/>
    <n v="46.7"/>
    <n v="2"/>
    <x v="1"/>
    <s v="southwest"/>
    <n v="11538.421"/>
  </r>
  <r>
    <n v="25"/>
    <s v="female"/>
    <n v="28.594999999999999"/>
    <n v="0"/>
    <x v="1"/>
    <s v="northeast"/>
    <n v="3213.6220499999999"/>
  </r>
  <r>
    <n v="43"/>
    <s v="female"/>
    <n v="46.2"/>
    <n v="0"/>
    <x v="0"/>
    <s v="southeast"/>
    <n v="45863.205000000002"/>
  </r>
  <r>
    <n v="63"/>
    <s v="male"/>
    <n v="30.8"/>
    <n v="0"/>
    <x v="1"/>
    <s v="southwest"/>
    <n v="13390.558999999999"/>
  </r>
  <r>
    <n v="32"/>
    <s v="female"/>
    <n v="28.93"/>
    <n v="0"/>
    <x v="1"/>
    <s v="southeast"/>
    <n v="3972.9247"/>
  </r>
  <r>
    <n v="62"/>
    <s v="male"/>
    <n v="21.4"/>
    <n v="0"/>
    <x v="1"/>
    <s v="southwest"/>
    <n v="12957.118"/>
  </r>
  <r>
    <n v="52"/>
    <s v="female"/>
    <n v="31.73"/>
    <n v="2"/>
    <x v="1"/>
    <s v="northwest"/>
    <n v="11187.6567"/>
  </r>
  <r>
    <n v="25"/>
    <s v="female"/>
    <n v="41.325000000000003"/>
    <n v="0"/>
    <x v="1"/>
    <s v="northeast"/>
    <n v="17878.900679999999"/>
  </r>
  <r>
    <n v="28"/>
    <s v="male"/>
    <n v="23.8"/>
    <n v="2"/>
    <x v="1"/>
    <s v="southwest"/>
    <n v="3847.674"/>
  </r>
  <r>
    <n v="46"/>
    <s v="male"/>
    <n v="33.44"/>
    <n v="1"/>
    <x v="1"/>
    <s v="northeast"/>
    <n v="8334.5895999999993"/>
  </r>
  <r>
    <n v="34"/>
    <s v="male"/>
    <n v="34.21"/>
    <n v="0"/>
    <x v="1"/>
    <s v="southeast"/>
    <n v="3935.1799000000001"/>
  </r>
  <r>
    <n v="35"/>
    <s v="female"/>
    <n v="34.104999999999997"/>
    <n v="3"/>
    <x v="0"/>
    <s v="northwest"/>
    <n v="39983.425949999997"/>
  </r>
  <r>
    <n v="19"/>
    <s v="male"/>
    <n v="35.53"/>
    <n v="0"/>
    <x v="1"/>
    <s v="northwest"/>
    <n v="1646.4296999999999"/>
  </r>
  <r>
    <n v="46"/>
    <s v="female"/>
    <n v="19.95"/>
    <n v="2"/>
    <x v="1"/>
    <s v="northwest"/>
    <n v="9193.8384999999998"/>
  </r>
  <r>
    <n v="54"/>
    <s v="female"/>
    <n v="32.68"/>
    <n v="0"/>
    <x v="1"/>
    <s v="northeast"/>
    <n v="10923.933199999999"/>
  </r>
  <r>
    <n v="27"/>
    <s v="male"/>
    <n v="30.5"/>
    <n v="0"/>
    <x v="1"/>
    <s v="southwest"/>
    <n v="2494.0219999999999"/>
  </r>
  <r>
    <n v="50"/>
    <s v="male"/>
    <n v="44.77"/>
    <n v="1"/>
    <x v="1"/>
    <s v="southeast"/>
    <n v="9058.7302999999993"/>
  </r>
  <r>
    <n v="18"/>
    <s v="female"/>
    <n v="32.119999999999997"/>
    <n v="2"/>
    <x v="1"/>
    <s v="southeast"/>
    <n v="2801.2588000000001"/>
  </r>
  <r>
    <n v="19"/>
    <s v="female"/>
    <n v="30.495000000000001"/>
    <n v="0"/>
    <x v="1"/>
    <s v="northwest"/>
    <n v="2128.4310500000001"/>
  </r>
  <r>
    <n v="38"/>
    <s v="female"/>
    <n v="40.564999999999998"/>
    <n v="1"/>
    <x v="1"/>
    <s v="northwest"/>
    <n v="6373.55735"/>
  </r>
  <r>
    <n v="41"/>
    <s v="male"/>
    <n v="30.59"/>
    <n v="2"/>
    <x v="1"/>
    <s v="northwest"/>
    <n v="7256.7231000000002"/>
  </r>
  <r>
    <n v="49"/>
    <s v="female"/>
    <n v="31.9"/>
    <n v="5"/>
    <x v="1"/>
    <s v="southwest"/>
    <n v="11552.904"/>
  </r>
  <r>
    <n v="48"/>
    <s v="male"/>
    <n v="40.564999999999998"/>
    <n v="2"/>
    <x v="0"/>
    <s v="northwest"/>
    <n v="45702.022349999999"/>
  </r>
  <r>
    <n v="31"/>
    <s v="female"/>
    <n v="29.1"/>
    <n v="0"/>
    <x v="1"/>
    <s v="southwest"/>
    <n v="3761.2919999999999"/>
  </r>
  <r>
    <n v="18"/>
    <s v="female"/>
    <n v="37.29"/>
    <n v="1"/>
    <x v="1"/>
    <s v="southeast"/>
    <n v="2219.4450999999999"/>
  </r>
  <r>
    <n v="30"/>
    <s v="female"/>
    <n v="43.12"/>
    <n v="2"/>
    <x v="1"/>
    <s v="southeast"/>
    <n v="4753.6368000000002"/>
  </r>
  <r>
    <n v="62"/>
    <s v="female"/>
    <n v="36.86"/>
    <n v="1"/>
    <x v="1"/>
    <s v="northeast"/>
    <n v="31620.001059999999"/>
  </r>
  <r>
    <n v="57"/>
    <s v="female"/>
    <n v="34.295000000000002"/>
    <n v="2"/>
    <x v="1"/>
    <s v="northeast"/>
    <n v="13224.057049999999"/>
  </r>
  <r>
    <n v="58"/>
    <s v="female"/>
    <n v="27.17"/>
    <n v="0"/>
    <x v="1"/>
    <s v="northwest"/>
    <n v="12222.898300000001"/>
  </r>
  <r>
    <n v="22"/>
    <s v="male"/>
    <n v="26.84"/>
    <n v="0"/>
    <x v="1"/>
    <s v="southeast"/>
    <n v="1664.9996000000001"/>
  </r>
  <r>
    <n v="31"/>
    <s v="female"/>
    <n v="38.094999999999999"/>
    <n v="1"/>
    <x v="0"/>
    <s v="northeast"/>
    <n v="58571.074480000003"/>
  </r>
  <r>
    <n v="52"/>
    <s v="male"/>
    <n v="30.2"/>
    <n v="1"/>
    <x v="1"/>
    <s v="southwest"/>
    <n v="9724.5300000000007"/>
  </r>
  <r>
    <n v="25"/>
    <s v="female"/>
    <n v="23.465"/>
    <n v="0"/>
    <x v="1"/>
    <s v="northeast"/>
    <n v="3206.4913499999998"/>
  </r>
  <r>
    <n v="59"/>
    <s v="male"/>
    <n v="25.46"/>
    <n v="1"/>
    <x v="1"/>
    <s v="northeast"/>
    <n v="12913.992399999999"/>
  </r>
  <r>
    <n v="19"/>
    <s v="male"/>
    <n v="30.59"/>
    <n v="0"/>
    <x v="1"/>
    <s v="northwest"/>
    <n v="1639.5631000000001"/>
  </r>
  <r>
    <n v="39"/>
    <s v="male"/>
    <n v="45.43"/>
    <n v="2"/>
    <x v="1"/>
    <s v="southeast"/>
    <n v="6356.2707"/>
  </r>
  <r>
    <n v="32"/>
    <s v="female"/>
    <n v="23.65"/>
    <n v="1"/>
    <x v="1"/>
    <s v="southeast"/>
    <n v="17626.239509999999"/>
  </r>
  <r>
    <n v="19"/>
    <s v="male"/>
    <n v="20.7"/>
    <n v="0"/>
    <x v="1"/>
    <s v="southwest"/>
    <n v="1242.816"/>
  </r>
  <r>
    <n v="33"/>
    <s v="female"/>
    <n v="28.27"/>
    <n v="1"/>
    <x v="1"/>
    <s v="southeast"/>
    <n v="4779.6022999999996"/>
  </r>
  <r>
    <n v="21"/>
    <s v="male"/>
    <n v="20.234999999999999"/>
    <n v="3"/>
    <x v="1"/>
    <s v="northeast"/>
    <n v="3861.2096499999998"/>
  </r>
  <r>
    <n v="34"/>
    <s v="female"/>
    <n v="30.21"/>
    <n v="1"/>
    <x v="0"/>
    <s v="northwest"/>
    <n v="43943.876100000001"/>
  </r>
  <r>
    <n v="61"/>
    <s v="female"/>
    <n v="35.909999999999997"/>
    <n v="0"/>
    <x v="1"/>
    <s v="northeast"/>
    <n v="13635.6379"/>
  </r>
  <r>
    <n v="38"/>
    <s v="female"/>
    <n v="30.69"/>
    <n v="1"/>
    <x v="1"/>
    <s v="southeast"/>
    <n v="5976.8311000000003"/>
  </r>
  <r>
    <n v="58"/>
    <s v="female"/>
    <n v="29"/>
    <n v="0"/>
    <x v="1"/>
    <s v="southwest"/>
    <n v="11842.441999999999"/>
  </r>
  <r>
    <n v="47"/>
    <s v="male"/>
    <n v="19.57"/>
    <n v="1"/>
    <x v="1"/>
    <s v="northwest"/>
    <n v="8428.0692999999992"/>
  </r>
  <r>
    <n v="20"/>
    <s v="male"/>
    <n v="31.13"/>
    <n v="2"/>
    <x v="1"/>
    <s v="southeast"/>
    <n v="2566.4706999999999"/>
  </r>
  <r>
    <n v="21"/>
    <s v="female"/>
    <n v="21.85"/>
    <n v="1"/>
    <x v="0"/>
    <s v="northeast"/>
    <n v="15359.104499999999"/>
  </r>
  <r>
    <n v="41"/>
    <s v="male"/>
    <n v="40.26"/>
    <n v="0"/>
    <x v="1"/>
    <s v="southeast"/>
    <n v="5709.1643999999997"/>
  </r>
  <r>
    <n v="46"/>
    <s v="female"/>
    <n v="33.725000000000001"/>
    <n v="1"/>
    <x v="1"/>
    <s v="northeast"/>
    <n v="8823.9857499999998"/>
  </r>
  <r>
    <n v="42"/>
    <s v="female"/>
    <n v="29.48"/>
    <n v="2"/>
    <x v="1"/>
    <s v="southeast"/>
    <n v="7640.3091999999997"/>
  </r>
  <r>
    <n v="34"/>
    <s v="female"/>
    <n v="33.25"/>
    <n v="1"/>
    <x v="1"/>
    <s v="northeast"/>
    <n v="5594.8455000000004"/>
  </r>
  <r>
    <n v="43"/>
    <s v="male"/>
    <n v="32.6"/>
    <n v="2"/>
    <x v="1"/>
    <s v="southwest"/>
    <n v="7441.5010000000002"/>
  </r>
  <r>
    <n v="52"/>
    <s v="female"/>
    <n v="37.524999999999999"/>
    <n v="2"/>
    <x v="1"/>
    <s v="northwest"/>
    <n v="33471.971890000001"/>
  </r>
  <r>
    <n v="18"/>
    <s v="female"/>
    <n v="39.159999999999997"/>
    <n v="0"/>
    <x v="1"/>
    <s v="southeast"/>
    <n v="1633.0444"/>
  </r>
  <r>
    <n v="51"/>
    <s v="male"/>
    <n v="31.635000000000002"/>
    <n v="0"/>
    <x v="1"/>
    <s v="northwest"/>
    <n v="9174.1356500000002"/>
  </r>
  <r>
    <n v="56"/>
    <s v="female"/>
    <n v="25.3"/>
    <n v="0"/>
    <x v="1"/>
    <s v="southwest"/>
    <n v="11070.535"/>
  </r>
  <r>
    <n v="64"/>
    <s v="female"/>
    <n v="39.049999999999997"/>
    <n v="3"/>
    <x v="1"/>
    <s v="southeast"/>
    <n v="16085.127500000001"/>
  </r>
  <r>
    <n v="19"/>
    <s v="female"/>
    <n v="28.31"/>
    <n v="0"/>
    <x v="0"/>
    <s v="northwest"/>
    <n v="17468.983899999999"/>
  </r>
  <r>
    <n v="51"/>
    <s v="female"/>
    <n v="34.1"/>
    <n v="0"/>
    <x v="1"/>
    <s v="southeast"/>
    <n v="9283.5619999999999"/>
  </r>
  <r>
    <n v="27"/>
    <s v="female"/>
    <n v="25.175000000000001"/>
    <n v="0"/>
    <x v="1"/>
    <s v="northeast"/>
    <n v="3558.6202499999999"/>
  </r>
  <r>
    <n v="59"/>
    <s v="female"/>
    <n v="23.655000000000001"/>
    <n v="0"/>
    <x v="0"/>
    <s v="northwest"/>
    <n v="25678.778450000002"/>
  </r>
  <r>
    <n v="28"/>
    <s v="male"/>
    <n v="26.98"/>
    <n v="2"/>
    <x v="1"/>
    <s v="northeast"/>
    <n v="4435.0941999999995"/>
  </r>
  <r>
    <n v="30"/>
    <s v="male"/>
    <n v="37.799999999999997"/>
    <n v="2"/>
    <x v="0"/>
    <s v="southwest"/>
    <n v="39241.442000000003"/>
  </r>
  <r>
    <n v="47"/>
    <s v="female"/>
    <n v="29.37"/>
    <n v="1"/>
    <x v="1"/>
    <s v="southeast"/>
    <n v="8547.6913000000004"/>
  </r>
  <r>
    <n v="38"/>
    <s v="female"/>
    <n v="34.799999999999997"/>
    <n v="2"/>
    <x v="1"/>
    <s v="southwest"/>
    <n v="6571.5439999999999"/>
  </r>
  <r>
    <n v="18"/>
    <s v="female"/>
    <n v="33.155000000000001"/>
    <n v="0"/>
    <x v="1"/>
    <s v="northeast"/>
    <n v="2207.6974500000001"/>
  </r>
  <r>
    <n v="34"/>
    <s v="female"/>
    <n v="19"/>
    <n v="3"/>
    <x v="1"/>
    <s v="northeast"/>
    <n v="6753.0379999999996"/>
  </r>
  <r>
    <n v="20"/>
    <s v="female"/>
    <n v="33"/>
    <n v="0"/>
    <x v="1"/>
    <s v="southeast"/>
    <n v="1880.07"/>
  </r>
  <r>
    <n v="47"/>
    <s v="female"/>
    <n v="36.630000000000003"/>
    <n v="1"/>
    <x v="0"/>
    <s v="southeast"/>
    <n v="42969.852700000003"/>
  </r>
  <r>
    <n v="56"/>
    <s v="female"/>
    <n v="28.594999999999999"/>
    <n v="0"/>
    <x v="1"/>
    <s v="northeast"/>
    <n v="11658.11505"/>
  </r>
  <r>
    <n v="49"/>
    <s v="male"/>
    <n v="25.6"/>
    <n v="2"/>
    <x v="0"/>
    <s v="southwest"/>
    <n v="23306.546999999999"/>
  </r>
  <r>
    <n v="19"/>
    <s v="female"/>
    <n v="33.11"/>
    <n v="0"/>
    <x v="0"/>
    <s v="southeast"/>
    <n v="34439.855900000002"/>
  </r>
  <r>
    <n v="55"/>
    <s v="female"/>
    <n v="37.1"/>
    <n v="0"/>
    <x v="1"/>
    <s v="southwest"/>
    <n v="10713.644"/>
  </r>
  <r>
    <n v="30"/>
    <s v="male"/>
    <n v="31.4"/>
    <n v="1"/>
    <x v="1"/>
    <s v="southwest"/>
    <n v="3659.346"/>
  </r>
  <r>
    <n v="37"/>
    <s v="male"/>
    <n v="34.1"/>
    <n v="4"/>
    <x v="0"/>
    <s v="southwest"/>
    <n v="40182.245999999999"/>
  </r>
  <r>
    <n v="49"/>
    <s v="female"/>
    <n v="21.3"/>
    <n v="1"/>
    <x v="1"/>
    <s v="southwest"/>
    <n v="9182.17"/>
  </r>
  <r>
    <n v="18"/>
    <s v="male"/>
    <n v="33.534999999999997"/>
    <n v="0"/>
    <x v="0"/>
    <s v="northeast"/>
    <n v="34617.840649999998"/>
  </r>
  <r>
    <n v="59"/>
    <s v="male"/>
    <n v="28.785"/>
    <n v="0"/>
    <x v="1"/>
    <s v="northwest"/>
    <n v="12129.614149999999"/>
  </r>
  <r>
    <n v="29"/>
    <s v="female"/>
    <n v="26.03"/>
    <n v="0"/>
    <x v="1"/>
    <s v="northwest"/>
    <n v="3736.4647"/>
  </r>
  <r>
    <n v="36"/>
    <s v="male"/>
    <n v="28.88"/>
    <n v="3"/>
    <x v="1"/>
    <s v="northeast"/>
    <n v="6748.5911999999998"/>
  </r>
  <r>
    <n v="33"/>
    <s v="male"/>
    <n v="42.46"/>
    <n v="1"/>
    <x v="1"/>
    <s v="southeast"/>
    <n v="11326.71487"/>
  </r>
  <r>
    <n v="58"/>
    <s v="male"/>
    <n v="38"/>
    <n v="0"/>
    <x v="1"/>
    <s v="southwest"/>
    <n v="11365.951999999999"/>
  </r>
  <r>
    <n v="44"/>
    <s v="female"/>
    <n v="38.950000000000003"/>
    <n v="0"/>
    <x v="0"/>
    <s v="northwest"/>
    <n v="42983.458500000001"/>
  </r>
  <r>
    <n v="53"/>
    <s v="male"/>
    <n v="36.1"/>
    <n v="1"/>
    <x v="1"/>
    <s v="southwest"/>
    <n v="10085.846"/>
  </r>
  <r>
    <n v="24"/>
    <s v="male"/>
    <n v="29.3"/>
    <n v="0"/>
    <x v="1"/>
    <s v="southwest"/>
    <n v="1977.8150000000001"/>
  </r>
  <r>
    <n v="29"/>
    <s v="female"/>
    <n v="35.53"/>
    <n v="0"/>
    <x v="1"/>
    <s v="southeast"/>
    <n v="3366.6696999999999"/>
  </r>
  <r>
    <n v="40"/>
    <s v="male"/>
    <n v="22.704999999999998"/>
    <n v="2"/>
    <x v="1"/>
    <s v="northeast"/>
    <n v="7173.35995"/>
  </r>
  <r>
    <n v="51"/>
    <s v="male"/>
    <n v="39.700000000000003"/>
    <n v="1"/>
    <x v="1"/>
    <s v="southwest"/>
    <n v="9391.3459999999995"/>
  </r>
  <r>
    <n v="64"/>
    <s v="male"/>
    <n v="38.19"/>
    <n v="0"/>
    <x v="1"/>
    <s v="northeast"/>
    <n v="14410.9321"/>
  </r>
  <r>
    <n v="19"/>
    <s v="female"/>
    <n v="24.51"/>
    <n v="1"/>
    <x v="1"/>
    <s v="northwest"/>
    <n v="2709.1118999999999"/>
  </r>
  <r>
    <n v="35"/>
    <s v="female"/>
    <n v="38.094999999999999"/>
    <n v="2"/>
    <x v="1"/>
    <s v="northeast"/>
    <n v="24915.046259999999"/>
  </r>
  <r>
    <n v="39"/>
    <s v="male"/>
    <n v="26.41"/>
    <n v="0"/>
    <x v="0"/>
    <s v="northeast"/>
    <n v="20149.322899999999"/>
  </r>
  <r>
    <n v="56"/>
    <s v="male"/>
    <n v="33.659999999999997"/>
    <n v="4"/>
    <x v="1"/>
    <s v="southeast"/>
    <n v="12949.1554"/>
  </r>
  <r>
    <n v="33"/>
    <s v="male"/>
    <n v="42.4"/>
    <n v="5"/>
    <x v="1"/>
    <s v="southwest"/>
    <n v="6666.2430000000004"/>
  </r>
  <r>
    <n v="42"/>
    <s v="male"/>
    <n v="28.31"/>
    <n v="3"/>
    <x v="0"/>
    <s v="northwest"/>
    <n v="32787.458590000002"/>
  </r>
  <r>
    <n v="61"/>
    <s v="male"/>
    <n v="33.914999999999999"/>
    <n v="0"/>
    <x v="1"/>
    <s v="northeast"/>
    <n v="13143.86485"/>
  </r>
  <r>
    <n v="23"/>
    <s v="female"/>
    <n v="34.96"/>
    <n v="3"/>
    <x v="1"/>
    <s v="northwest"/>
    <n v="4466.6214"/>
  </r>
  <r>
    <n v="43"/>
    <s v="male"/>
    <n v="35.31"/>
    <n v="2"/>
    <x v="1"/>
    <s v="southeast"/>
    <n v="18806.145469999999"/>
  </r>
  <r>
    <n v="48"/>
    <s v="male"/>
    <n v="30.78"/>
    <n v="3"/>
    <x v="1"/>
    <s v="northeast"/>
    <n v="10141.136200000001"/>
  </r>
  <r>
    <n v="39"/>
    <s v="male"/>
    <n v="26.22"/>
    <n v="1"/>
    <x v="1"/>
    <s v="northwest"/>
    <n v="6123.5688"/>
  </r>
  <r>
    <n v="40"/>
    <s v="female"/>
    <n v="23.37"/>
    <n v="3"/>
    <x v="1"/>
    <s v="northeast"/>
    <n v="8252.2842999999993"/>
  </r>
  <r>
    <n v="18"/>
    <s v="male"/>
    <n v="28.5"/>
    <n v="0"/>
    <x v="1"/>
    <s v="northeast"/>
    <n v="1712.2270000000001"/>
  </r>
  <r>
    <n v="58"/>
    <s v="female"/>
    <n v="32.965000000000003"/>
    <n v="0"/>
    <x v="1"/>
    <s v="northeast"/>
    <n v="12430.95335"/>
  </r>
  <r>
    <n v="49"/>
    <s v="female"/>
    <n v="42.68"/>
    <n v="2"/>
    <x v="1"/>
    <s v="southeast"/>
    <n v="9800.8881999999994"/>
  </r>
  <r>
    <n v="53"/>
    <s v="female"/>
    <n v="39.6"/>
    <n v="1"/>
    <x v="1"/>
    <s v="southeast"/>
    <n v="10579.710999999999"/>
  </r>
  <r>
    <n v="48"/>
    <s v="female"/>
    <n v="31.13"/>
    <n v="0"/>
    <x v="1"/>
    <s v="southeast"/>
    <n v="8280.6226999999999"/>
  </r>
  <r>
    <n v="45"/>
    <s v="female"/>
    <n v="36.299999999999997"/>
    <n v="2"/>
    <x v="1"/>
    <s v="southeast"/>
    <n v="8527.5319999999992"/>
  </r>
  <r>
    <n v="59"/>
    <s v="female"/>
    <n v="35.200000000000003"/>
    <n v="0"/>
    <x v="1"/>
    <s v="southeast"/>
    <n v="12244.531000000001"/>
  </r>
  <r>
    <n v="52"/>
    <s v="female"/>
    <n v="25.3"/>
    <n v="2"/>
    <x v="0"/>
    <s v="southeast"/>
    <n v="24667.419000000002"/>
  </r>
  <r>
    <n v="26"/>
    <s v="female"/>
    <n v="42.4"/>
    <n v="1"/>
    <x v="1"/>
    <s v="southwest"/>
    <n v="3410.3240000000001"/>
  </r>
  <r>
    <n v="27"/>
    <s v="male"/>
    <n v="33.155000000000001"/>
    <n v="2"/>
    <x v="1"/>
    <s v="northwest"/>
    <n v="4058.71245"/>
  </r>
  <r>
    <n v="48"/>
    <s v="female"/>
    <n v="35.909999999999997"/>
    <n v="1"/>
    <x v="1"/>
    <s v="northeast"/>
    <n v="26392.260289999998"/>
  </r>
  <r>
    <n v="57"/>
    <s v="female"/>
    <n v="28.785"/>
    <n v="4"/>
    <x v="1"/>
    <s v="northeast"/>
    <n v="14394.398150000001"/>
  </r>
  <r>
    <n v="37"/>
    <s v="male"/>
    <n v="46.53"/>
    <n v="3"/>
    <x v="1"/>
    <s v="southeast"/>
    <n v="6435.6237000000001"/>
  </r>
  <r>
    <n v="57"/>
    <s v="female"/>
    <n v="23.98"/>
    <n v="1"/>
    <x v="1"/>
    <s v="southeast"/>
    <n v="22192.437109999999"/>
  </r>
  <r>
    <n v="32"/>
    <s v="female"/>
    <n v="31.54"/>
    <n v="1"/>
    <x v="1"/>
    <s v="northeast"/>
    <n v="5148.5526"/>
  </r>
  <r>
    <n v="18"/>
    <s v="male"/>
    <n v="33.659999999999997"/>
    <n v="0"/>
    <x v="1"/>
    <s v="southeast"/>
    <n v="1136.3994"/>
  </r>
  <r>
    <n v="64"/>
    <s v="female"/>
    <n v="22.99"/>
    <n v="0"/>
    <x v="0"/>
    <s v="southeast"/>
    <n v="27037.914100000002"/>
  </r>
  <r>
    <n v="43"/>
    <s v="male"/>
    <n v="38.06"/>
    <n v="2"/>
    <x v="0"/>
    <s v="southeast"/>
    <n v="42560.430399999997"/>
  </r>
  <r>
    <n v="49"/>
    <s v="male"/>
    <n v="28.7"/>
    <n v="1"/>
    <x v="1"/>
    <s v="southwest"/>
    <n v="8703.4560000000001"/>
  </r>
  <r>
    <n v="40"/>
    <s v="female"/>
    <n v="32.774999999999999"/>
    <n v="2"/>
    <x v="0"/>
    <s v="northwest"/>
    <n v="40003.332249999999"/>
  </r>
  <r>
    <n v="62"/>
    <s v="male"/>
    <n v="32.015000000000001"/>
    <n v="0"/>
    <x v="0"/>
    <s v="northeast"/>
    <n v="45710.207849999999"/>
  </r>
  <r>
    <n v="40"/>
    <s v="female"/>
    <n v="29.81"/>
    <n v="1"/>
    <x v="1"/>
    <s v="southeast"/>
    <n v="6500.2358999999997"/>
  </r>
  <r>
    <n v="30"/>
    <s v="male"/>
    <n v="31.57"/>
    <n v="3"/>
    <x v="1"/>
    <s v="southeast"/>
    <n v="4837.5823"/>
  </r>
  <r>
    <n v="29"/>
    <s v="female"/>
    <n v="31.16"/>
    <n v="0"/>
    <x v="1"/>
    <s v="northeast"/>
    <n v="3943.5954000000002"/>
  </r>
  <r>
    <n v="36"/>
    <s v="male"/>
    <n v="29.7"/>
    <n v="0"/>
    <x v="1"/>
    <s v="southeast"/>
    <n v="4399.7309999999998"/>
  </r>
  <r>
    <n v="41"/>
    <s v="female"/>
    <n v="31.02"/>
    <n v="0"/>
    <x v="1"/>
    <s v="southeast"/>
    <n v="6185.3208000000004"/>
  </r>
  <r>
    <n v="44"/>
    <s v="female"/>
    <n v="43.89"/>
    <n v="2"/>
    <x v="0"/>
    <s v="southeast"/>
    <n v="46200.985099999998"/>
  </r>
  <r>
    <n v="45"/>
    <s v="male"/>
    <n v="21.375"/>
    <n v="0"/>
    <x v="1"/>
    <s v="northwest"/>
    <n v="7222.7862500000001"/>
  </r>
  <r>
    <n v="55"/>
    <s v="female"/>
    <n v="40.81"/>
    <n v="3"/>
    <x v="1"/>
    <s v="southeast"/>
    <n v="12485.8009"/>
  </r>
  <r>
    <n v="60"/>
    <s v="male"/>
    <n v="31.35"/>
    <n v="3"/>
    <x v="0"/>
    <s v="northwest"/>
    <n v="46130.5265"/>
  </r>
  <r>
    <n v="56"/>
    <s v="male"/>
    <n v="36.1"/>
    <n v="3"/>
    <x v="1"/>
    <s v="southwest"/>
    <n v="12363.547"/>
  </r>
  <r>
    <n v="49"/>
    <s v="female"/>
    <n v="23.18"/>
    <n v="2"/>
    <x v="1"/>
    <s v="northwest"/>
    <n v="10156.7832"/>
  </r>
  <r>
    <n v="21"/>
    <s v="female"/>
    <n v="17.399999999999999"/>
    <n v="1"/>
    <x v="1"/>
    <s v="southwest"/>
    <n v="2585.2689999999998"/>
  </r>
  <r>
    <n v="19"/>
    <s v="male"/>
    <n v="20.3"/>
    <n v="0"/>
    <x v="1"/>
    <s v="southwest"/>
    <n v="1242.26"/>
  </r>
  <r>
    <n v="39"/>
    <s v="male"/>
    <n v="35.299999999999997"/>
    <n v="2"/>
    <x v="0"/>
    <s v="southwest"/>
    <n v="40103.89"/>
  </r>
  <r>
    <n v="53"/>
    <s v="male"/>
    <n v="24.32"/>
    <n v="0"/>
    <x v="1"/>
    <s v="northwest"/>
    <n v="9863.4717999999993"/>
  </r>
  <r>
    <n v="33"/>
    <s v="female"/>
    <n v="18.5"/>
    <n v="1"/>
    <x v="1"/>
    <s v="southwest"/>
    <n v="4766.0219999999999"/>
  </r>
  <r>
    <n v="53"/>
    <s v="male"/>
    <n v="26.41"/>
    <n v="2"/>
    <x v="1"/>
    <s v="northeast"/>
    <n v="11244.376899999999"/>
  </r>
  <r>
    <n v="42"/>
    <s v="male"/>
    <n v="26.125"/>
    <n v="2"/>
    <x v="1"/>
    <s v="northeast"/>
    <n v="7729.6457499999997"/>
  </r>
  <r>
    <n v="40"/>
    <s v="male"/>
    <n v="41.69"/>
    <n v="0"/>
    <x v="1"/>
    <s v="southeast"/>
    <n v="5438.7491"/>
  </r>
  <r>
    <n v="47"/>
    <s v="female"/>
    <n v="24.1"/>
    <n v="1"/>
    <x v="1"/>
    <s v="southwest"/>
    <n v="26236.579969999999"/>
  </r>
  <r>
    <n v="27"/>
    <s v="male"/>
    <n v="31.13"/>
    <n v="1"/>
    <x v="0"/>
    <s v="southeast"/>
    <n v="34806.467700000001"/>
  </r>
  <r>
    <n v="21"/>
    <s v="male"/>
    <n v="27.36"/>
    <n v="0"/>
    <x v="1"/>
    <s v="northeast"/>
    <n v="2104.1134000000002"/>
  </r>
  <r>
    <n v="47"/>
    <s v="male"/>
    <n v="36.200000000000003"/>
    <n v="1"/>
    <x v="1"/>
    <s v="southwest"/>
    <n v="8068.1850000000004"/>
  </r>
  <r>
    <n v="20"/>
    <s v="male"/>
    <n v="32.395000000000003"/>
    <n v="1"/>
    <x v="1"/>
    <s v="northwest"/>
    <n v="2362.2290499999999"/>
  </r>
  <r>
    <n v="24"/>
    <s v="male"/>
    <n v="23.655000000000001"/>
    <n v="0"/>
    <x v="1"/>
    <s v="northwest"/>
    <n v="2352.9684499999998"/>
  </r>
  <r>
    <n v="27"/>
    <s v="female"/>
    <n v="34.799999999999997"/>
    <n v="1"/>
    <x v="1"/>
    <s v="southwest"/>
    <n v="3577.9989999999998"/>
  </r>
  <r>
    <n v="26"/>
    <s v="female"/>
    <n v="40.185000000000002"/>
    <n v="0"/>
    <x v="1"/>
    <s v="northwest"/>
    <n v="3201.2451500000002"/>
  </r>
  <r>
    <n v="53"/>
    <s v="female"/>
    <n v="32.299999999999997"/>
    <n v="2"/>
    <x v="1"/>
    <s v="northeast"/>
    <n v="29186.482360000002"/>
  </r>
  <r>
    <n v="41"/>
    <s v="male"/>
    <n v="35.75"/>
    <n v="1"/>
    <x v="0"/>
    <s v="southeast"/>
    <n v="40273.645499999999"/>
  </r>
  <r>
    <n v="56"/>
    <s v="male"/>
    <n v="33.725000000000001"/>
    <n v="0"/>
    <x v="1"/>
    <s v="northwest"/>
    <n v="10976.24575"/>
  </r>
  <r>
    <n v="23"/>
    <s v="female"/>
    <n v="39.270000000000003"/>
    <n v="2"/>
    <x v="1"/>
    <s v="southeast"/>
    <n v="3500.6122999999998"/>
  </r>
  <r>
    <n v="21"/>
    <s v="female"/>
    <n v="34.869999999999997"/>
    <n v="0"/>
    <x v="1"/>
    <s v="southeast"/>
    <n v="2020.5523000000001"/>
  </r>
  <r>
    <n v="50"/>
    <s v="female"/>
    <n v="44.744999999999997"/>
    <n v="0"/>
    <x v="1"/>
    <s v="northeast"/>
    <n v="9541.6955500000004"/>
  </r>
  <r>
    <n v="53"/>
    <s v="male"/>
    <n v="41.47"/>
    <n v="0"/>
    <x v="1"/>
    <s v="southeast"/>
    <n v="9504.3102999999992"/>
  </r>
  <r>
    <n v="34"/>
    <s v="female"/>
    <n v="26.41"/>
    <n v="1"/>
    <x v="1"/>
    <s v="northwest"/>
    <n v="5385.3379000000004"/>
  </r>
  <r>
    <n v="47"/>
    <s v="female"/>
    <n v="29.545000000000002"/>
    <n v="1"/>
    <x v="1"/>
    <s v="northwest"/>
    <n v="8930.9345499999999"/>
  </r>
  <r>
    <n v="33"/>
    <s v="female"/>
    <n v="32.9"/>
    <n v="2"/>
    <x v="1"/>
    <s v="southwest"/>
    <n v="5375.0379999999996"/>
  </r>
  <r>
    <n v="51"/>
    <s v="female"/>
    <n v="38.06"/>
    <n v="0"/>
    <x v="0"/>
    <s v="southeast"/>
    <n v="44400.4064"/>
  </r>
  <r>
    <n v="49"/>
    <s v="male"/>
    <n v="28.69"/>
    <n v="3"/>
    <x v="1"/>
    <s v="northwest"/>
    <n v="10264.4421"/>
  </r>
  <r>
    <n v="31"/>
    <s v="female"/>
    <n v="30.495000000000001"/>
    <n v="3"/>
    <x v="1"/>
    <s v="northeast"/>
    <n v="6113.2310500000003"/>
  </r>
  <r>
    <n v="36"/>
    <s v="female"/>
    <n v="27.74"/>
    <n v="0"/>
    <x v="1"/>
    <s v="northeast"/>
    <n v="5469.0065999999997"/>
  </r>
  <r>
    <n v="18"/>
    <s v="male"/>
    <n v="35.200000000000003"/>
    <n v="1"/>
    <x v="1"/>
    <s v="southeast"/>
    <n v="1727.54"/>
  </r>
  <r>
    <n v="50"/>
    <s v="female"/>
    <n v="23.54"/>
    <n v="2"/>
    <x v="1"/>
    <s v="southeast"/>
    <n v="10107.220600000001"/>
  </r>
  <r>
    <n v="43"/>
    <s v="female"/>
    <n v="30.684999999999999"/>
    <n v="2"/>
    <x v="1"/>
    <s v="northwest"/>
    <n v="8310.8391499999998"/>
  </r>
  <r>
    <n v="20"/>
    <s v="male"/>
    <n v="40.47"/>
    <n v="0"/>
    <x v="1"/>
    <s v="northeast"/>
    <n v="1984.4532999999999"/>
  </r>
  <r>
    <n v="24"/>
    <s v="female"/>
    <n v="22.6"/>
    <n v="0"/>
    <x v="1"/>
    <s v="southwest"/>
    <n v="2457.502"/>
  </r>
  <r>
    <n v="60"/>
    <s v="male"/>
    <n v="28.9"/>
    <n v="0"/>
    <x v="1"/>
    <s v="southwest"/>
    <n v="12146.971"/>
  </r>
  <r>
    <n v="49"/>
    <s v="female"/>
    <n v="22.61"/>
    <n v="1"/>
    <x v="1"/>
    <s v="northwest"/>
    <n v="9566.9909000000007"/>
  </r>
  <r>
    <n v="60"/>
    <s v="male"/>
    <n v="24.32"/>
    <n v="1"/>
    <x v="1"/>
    <s v="northwest"/>
    <n v="13112.604799999999"/>
  </r>
  <r>
    <n v="51"/>
    <s v="female"/>
    <n v="36.67"/>
    <n v="2"/>
    <x v="1"/>
    <s v="northwest"/>
    <n v="10848.1343"/>
  </r>
  <r>
    <n v="58"/>
    <s v="female"/>
    <n v="33.44"/>
    <n v="0"/>
    <x v="1"/>
    <s v="northwest"/>
    <n v="12231.613600000001"/>
  </r>
  <r>
    <n v="51"/>
    <s v="female"/>
    <n v="40.659999999999997"/>
    <n v="0"/>
    <x v="1"/>
    <s v="northeast"/>
    <n v="9875.6803999999993"/>
  </r>
  <r>
    <n v="53"/>
    <s v="male"/>
    <n v="36.6"/>
    <n v="3"/>
    <x v="1"/>
    <s v="southwest"/>
    <n v="11264.540999999999"/>
  </r>
  <r>
    <n v="62"/>
    <s v="male"/>
    <n v="37.4"/>
    <n v="0"/>
    <x v="1"/>
    <s v="southwest"/>
    <n v="12979.358"/>
  </r>
  <r>
    <n v="19"/>
    <s v="male"/>
    <n v="35.4"/>
    <n v="0"/>
    <x v="1"/>
    <s v="southwest"/>
    <n v="1263.249"/>
  </r>
  <r>
    <n v="50"/>
    <s v="female"/>
    <n v="27.074999999999999"/>
    <n v="1"/>
    <x v="1"/>
    <s v="northeast"/>
    <n v="10106.134249999999"/>
  </r>
  <r>
    <n v="30"/>
    <s v="female"/>
    <n v="39.049999999999997"/>
    <n v="3"/>
    <x v="0"/>
    <s v="southeast"/>
    <n v="40932.429499999998"/>
  </r>
  <r>
    <n v="41"/>
    <s v="male"/>
    <n v="28.405000000000001"/>
    <n v="1"/>
    <x v="1"/>
    <s v="northwest"/>
    <n v="6664.68595"/>
  </r>
  <r>
    <n v="29"/>
    <s v="female"/>
    <n v="21.754999999999999"/>
    <n v="1"/>
    <x v="0"/>
    <s v="northeast"/>
    <n v="16657.71745"/>
  </r>
  <r>
    <n v="18"/>
    <s v="female"/>
    <n v="40.28"/>
    <n v="0"/>
    <x v="1"/>
    <s v="northeast"/>
    <n v="2217.6012000000001"/>
  </r>
  <r>
    <n v="41"/>
    <s v="female"/>
    <n v="36.08"/>
    <n v="1"/>
    <x v="1"/>
    <s v="southeast"/>
    <n v="6781.3541999999998"/>
  </r>
  <r>
    <n v="35"/>
    <s v="male"/>
    <n v="24.42"/>
    <n v="3"/>
    <x v="0"/>
    <s v="southeast"/>
    <n v="19361.998800000001"/>
  </r>
  <r>
    <n v="53"/>
    <s v="male"/>
    <n v="21.4"/>
    <n v="1"/>
    <x v="1"/>
    <s v="southwest"/>
    <n v="10065.413"/>
  </r>
  <r>
    <n v="24"/>
    <s v="female"/>
    <n v="30.1"/>
    <n v="3"/>
    <x v="1"/>
    <s v="southwest"/>
    <n v="4234.9269999999997"/>
  </r>
  <r>
    <n v="48"/>
    <s v="female"/>
    <n v="27.265000000000001"/>
    <n v="1"/>
    <x v="1"/>
    <s v="northeast"/>
    <n v="9447.2503500000003"/>
  </r>
  <r>
    <n v="59"/>
    <s v="female"/>
    <n v="32.1"/>
    <n v="3"/>
    <x v="1"/>
    <s v="southwest"/>
    <n v="14007.222"/>
  </r>
  <r>
    <n v="49"/>
    <s v="female"/>
    <n v="34.770000000000003"/>
    <n v="1"/>
    <x v="1"/>
    <s v="northwest"/>
    <n v="9583.8932999999997"/>
  </r>
  <r>
    <n v="37"/>
    <s v="female"/>
    <n v="38.39"/>
    <n v="0"/>
    <x v="0"/>
    <s v="southeast"/>
    <n v="40419.019099999998"/>
  </r>
  <r>
    <n v="26"/>
    <s v="male"/>
    <n v="23.7"/>
    <n v="2"/>
    <x v="1"/>
    <s v="southwest"/>
    <n v="3484.3310000000001"/>
  </r>
  <r>
    <n v="23"/>
    <s v="male"/>
    <n v="31.73"/>
    <n v="3"/>
    <x v="0"/>
    <s v="northeast"/>
    <n v="36189.101699999999"/>
  </r>
  <r>
    <n v="29"/>
    <s v="male"/>
    <n v="35.5"/>
    <n v="2"/>
    <x v="0"/>
    <s v="southwest"/>
    <n v="44585.455869999998"/>
  </r>
  <r>
    <n v="45"/>
    <s v="male"/>
    <n v="24.035"/>
    <n v="2"/>
    <x v="1"/>
    <s v="northeast"/>
    <n v="8604.4836500000001"/>
  </r>
  <r>
    <n v="27"/>
    <s v="male"/>
    <n v="29.15"/>
    <n v="0"/>
    <x v="0"/>
    <s v="southeast"/>
    <n v="18246.495500000001"/>
  </r>
  <r>
    <n v="53"/>
    <s v="male"/>
    <n v="34.104999999999997"/>
    <n v="0"/>
    <x v="0"/>
    <s v="northeast"/>
    <n v="43254.417950000003"/>
  </r>
  <r>
    <n v="31"/>
    <s v="female"/>
    <n v="26.62"/>
    <n v="0"/>
    <x v="1"/>
    <s v="southeast"/>
    <n v="3757.8447999999999"/>
  </r>
  <r>
    <n v="50"/>
    <s v="male"/>
    <n v="26.41"/>
    <n v="0"/>
    <x v="1"/>
    <s v="northwest"/>
    <n v="8827.2098999999998"/>
  </r>
  <r>
    <n v="50"/>
    <s v="female"/>
    <n v="30.114999999999998"/>
    <n v="1"/>
    <x v="1"/>
    <s v="northwest"/>
    <n v="9910.3598500000007"/>
  </r>
  <r>
    <n v="34"/>
    <s v="male"/>
    <n v="27"/>
    <n v="2"/>
    <x v="1"/>
    <s v="southwest"/>
    <n v="11737.848840000001"/>
  </r>
  <r>
    <n v="19"/>
    <s v="male"/>
    <n v="21.754999999999999"/>
    <n v="0"/>
    <x v="1"/>
    <s v="northwest"/>
    <n v="1627.2824499999999"/>
  </r>
  <r>
    <n v="47"/>
    <s v="female"/>
    <n v="36"/>
    <n v="1"/>
    <x v="1"/>
    <s v="southwest"/>
    <n v="8556.9069999999992"/>
  </r>
  <r>
    <n v="28"/>
    <s v="male"/>
    <n v="30.875"/>
    <n v="0"/>
    <x v="1"/>
    <s v="northwest"/>
    <n v="3062.5082499999999"/>
  </r>
  <r>
    <n v="37"/>
    <s v="female"/>
    <n v="26.4"/>
    <n v="0"/>
    <x v="0"/>
    <s v="southeast"/>
    <n v="19539.242999999999"/>
  </r>
  <r>
    <n v="21"/>
    <s v="male"/>
    <n v="28.975000000000001"/>
    <n v="0"/>
    <x v="1"/>
    <s v="northwest"/>
    <n v="1906.35825"/>
  </r>
  <r>
    <n v="64"/>
    <s v="male"/>
    <n v="37.905000000000001"/>
    <n v="0"/>
    <x v="1"/>
    <s v="northwest"/>
    <n v="14210.53595"/>
  </r>
  <r>
    <n v="58"/>
    <s v="female"/>
    <n v="22.77"/>
    <n v="0"/>
    <x v="1"/>
    <s v="southeast"/>
    <n v="11833.782300000001"/>
  </r>
  <r>
    <n v="24"/>
    <s v="male"/>
    <n v="33.630000000000003"/>
    <n v="4"/>
    <x v="1"/>
    <s v="northeast"/>
    <n v="17128.426080000001"/>
  </r>
  <r>
    <n v="31"/>
    <s v="male"/>
    <n v="27.645"/>
    <n v="2"/>
    <x v="1"/>
    <s v="northeast"/>
    <n v="5031.26955"/>
  </r>
  <r>
    <n v="39"/>
    <s v="female"/>
    <n v="22.8"/>
    <n v="3"/>
    <x v="1"/>
    <s v="northeast"/>
    <n v="7985.8149999999996"/>
  </r>
  <r>
    <n v="47"/>
    <s v="female"/>
    <n v="27.83"/>
    <n v="0"/>
    <x v="0"/>
    <s v="southeast"/>
    <n v="23065.420699999999"/>
  </r>
  <r>
    <n v="30"/>
    <s v="male"/>
    <n v="37.43"/>
    <n v="3"/>
    <x v="1"/>
    <s v="northeast"/>
    <n v="5428.7277000000004"/>
  </r>
  <r>
    <n v="18"/>
    <s v="male"/>
    <n v="38.17"/>
    <n v="0"/>
    <x v="0"/>
    <s v="southeast"/>
    <n v="36307.798300000002"/>
  </r>
  <r>
    <n v="22"/>
    <s v="female"/>
    <n v="34.58"/>
    <n v="2"/>
    <x v="1"/>
    <s v="northeast"/>
    <n v="3925.7582000000002"/>
  </r>
  <r>
    <n v="23"/>
    <s v="male"/>
    <n v="35.200000000000003"/>
    <n v="1"/>
    <x v="1"/>
    <s v="southwest"/>
    <n v="2416.9549999999999"/>
  </r>
  <r>
    <n v="33"/>
    <s v="male"/>
    <n v="27.1"/>
    <n v="1"/>
    <x v="0"/>
    <s v="southwest"/>
    <n v="19040.876"/>
  </r>
  <r>
    <n v="27"/>
    <s v="male"/>
    <n v="26.03"/>
    <n v="0"/>
    <x v="1"/>
    <s v="northeast"/>
    <n v="3070.8087"/>
  </r>
  <r>
    <n v="45"/>
    <s v="female"/>
    <n v="25.175000000000001"/>
    <n v="2"/>
    <x v="1"/>
    <s v="northeast"/>
    <n v="9095.0682500000003"/>
  </r>
  <r>
    <n v="57"/>
    <s v="female"/>
    <n v="31.824999999999999"/>
    <n v="0"/>
    <x v="1"/>
    <s v="northwest"/>
    <n v="11842.623750000001"/>
  </r>
  <r>
    <n v="47"/>
    <s v="male"/>
    <n v="32.299999999999997"/>
    <n v="1"/>
    <x v="1"/>
    <s v="southwest"/>
    <n v="8062.7640000000001"/>
  </r>
  <r>
    <n v="42"/>
    <s v="female"/>
    <n v="29"/>
    <n v="1"/>
    <x v="1"/>
    <s v="southwest"/>
    <n v="7050.6419999999998"/>
  </r>
  <r>
    <n v="64"/>
    <s v="female"/>
    <n v="39.700000000000003"/>
    <n v="0"/>
    <x v="1"/>
    <s v="southwest"/>
    <n v="14319.031000000001"/>
  </r>
  <r>
    <n v="38"/>
    <s v="female"/>
    <n v="19.475000000000001"/>
    <n v="2"/>
    <x v="1"/>
    <s v="northwest"/>
    <n v="6933.2422500000002"/>
  </r>
  <r>
    <n v="61"/>
    <s v="male"/>
    <n v="36.1"/>
    <n v="3"/>
    <x v="1"/>
    <s v="southwest"/>
    <n v="27941.28758"/>
  </r>
  <r>
    <n v="53"/>
    <s v="female"/>
    <n v="26.7"/>
    <n v="2"/>
    <x v="1"/>
    <s v="southwest"/>
    <n v="11150.78"/>
  </r>
  <r>
    <n v="44"/>
    <s v="female"/>
    <n v="36.479999999999997"/>
    <n v="0"/>
    <x v="1"/>
    <s v="northeast"/>
    <n v="12797.20962"/>
  </r>
  <r>
    <n v="19"/>
    <s v="female"/>
    <n v="28.88"/>
    <n v="0"/>
    <x v="0"/>
    <s v="northwest"/>
    <n v="17748.5062"/>
  </r>
  <r>
    <n v="41"/>
    <s v="male"/>
    <n v="34.200000000000003"/>
    <n v="2"/>
    <x v="1"/>
    <s v="northwest"/>
    <n v="7261.741"/>
  </r>
  <r>
    <n v="51"/>
    <s v="male"/>
    <n v="33.33"/>
    <n v="3"/>
    <x v="1"/>
    <s v="southeast"/>
    <n v="10560.4917"/>
  </r>
  <r>
    <n v="40"/>
    <s v="male"/>
    <n v="32.299999999999997"/>
    <n v="2"/>
    <x v="1"/>
    <s v="northwest"/>
    <n v="6986.6970000000001"/>
  </r>
  <r>
    <n v="45"/>
    <s v="male"/>
    <n v="39.805"/>
    <n v="0"/>
    <x v="1"/>
    <s v="northeast"/>
    <n v="7448.4039499999999"/>
  </r>
  <r>
    <n v="35"/>
    <s v="male"/>
    <n v="34.32"/>
    <n v="3"/>
    <x v="1"/>
    <s v="southeast"/>
    <n v="5934.3797999999997"/>
  </r>
  <r>
    <n v="53"/>
    <s v="male"/>
    <n v="28.88"/>
    <n v="0"/>
    <x v="1"/>
    <s v="northwest"/>
    <n v="9869.8101999999999"/>
  </r>
  <r>
    <n v="30"/>
    <s v="male"/>
    <n v="24.4"/>
    <n v="3"/>
    <x v="0"/>
    <s v="southwest"/>
    <n v="18259.216"/>
  </r>
  <r>
    <n v="18"/>
    <s v="male"/>
    <n v="41.14"/>
    <n v="0"/>
    <x v="1"/>
    <s v="southeast"/>
    <n v="1146.7965999999999"/>
  </r>
  <r>
    <n v="51"/>
    <s v="male"/>
    <n v="35.97"/>
    <n v="1"/>
    <x v="1"/>
    <s v="southeast"/>
    <n v="9386.1612999999998"/>
  </r>
  <r>
    <n v="50"/>
    <s v="female"/>
    <n v="27.6"/>
    <n v="1"/>
    <x v="0"/>
    <s v="southwest"/>
    <n v="24520.263999999999"/>
  </r>
  <r>
    <n v="31"/>
    <s v="female"/>
    <n v="29.26"/>
    <n v="1"/>
    <x v="1"/>
    <s v="southeast"/>
    <n v="4350.5144"/>
  </r>
  <r>
    <n v="35"/>
    <s v="female"/>
    <n v="27.7"/>
    <n v="3"/>
    <x v="1"/>
    <s v="southwest"/>
    <n v="6414.1779999999999"/>
  </r>
  <r>
    <n v="60"/>
    <s v="male"/>
    <n v="36.954999999999998"/>
    <n v="0"/>
    <x v="1"/>
    <s v="northeast"/>
    <n v="12741.167450000001"/>
  </r>
  <r>
    <n v="21"/>
    <s v="male"/>
    <n v="36.86"/>
    <n v="0"/>
    <x v="1"/>
    <s v="northwest"/>
    <n v="1917.3184000000001"/>
  </r>
  <r>
    <n v="29"/>
    <s v="male"/>
    <n v="22.515000000000001"/>
    <n v="3"/>
    <x v="1"/>
    <s v="northeast"/>
    <n v="5209.5788499999999"/>
  </r>
  <r>
    <n v="62"/>
    <s v="female"/>
    <n v="29.92"/>
    <n v="0"/>
    <x v="1"/>
    <s v="southeast"/>
    <n v="13457.960800000001"/>
  </r>
  <r>
    <n v="39"/>
    <s v="female"/>
    <n v="41.8"/>
    <n v="0"/>
    <x v="1"/>
    <s v="southeast"/>
    <n v="5662.2250000000004"/>
  </r>
  <r>
    <n v="19"/>
    <s v="male"/>
    <n v="27.6"/>
    <n v="0"/>
    <x v="1"/>
    <s v="southwest"/>
    <n v="1252.4069999999999"/>
  </r>
  <r>
    <n v="22"/>
    <s v="female"/>
    <n v="23.18"/>
    <n v="0"/>
    <x v="1"/>
    <s v="northeast"/>
    <n v="2731.9122000000002"/>
  </r>
  <r>
    <n v="53"/>
    <s v="male"/>
    <n v="20.9"/>
    <n v="0"/>
    <x v="0"/>
    <s v="southeast"/>
    <n v="21195.817999999999"/>
  </r>
  <r>
    <n v="39"/>
    <s v="female"/>
    <n v="31.92"/>
    <n v="2"/>
    <x v="1"/>
    <s v="northwest"/>
    <n v="7209.4917999999998"/>
  </r>
  <r>
    <n v="27"/>
    <s v="male"/>
    <n v="28.5"/>
    <n v="0"/>
    <x v="0"/>
    <s v="northwest"/>
    <n v="18310.741999999998"/>
  </r>
  <r>
    <n v="30"/>
    <s v="male"/>
    <n v="44.22"/>
    <n v="2"/>
    <x v="1"/>
    <s v="southeast"/>
    <n v="4266.1657999999998"/>
  </r>
  <r>
    <n v="30"/>
    <s v="female"/>
    <n v="22.895"/>
    <n v="1"/>
    <x v="1"/>
    <s v="northeast"/>
    <n v="4719.52405"/>
  </r>
  <r>
    <n v="58"/>
    <s v="female"/>
    <n v="33.1"/>
    <n v="0"/>
    <x v="1"/>
    <s v="southwest"/>
    <n v="11848.141"/>
  </r>
  <r>
    <n v="33"/>
    <s v="male"/>
    <n v="24.795000000000002"/>
    <n v="0"/>
    <x v="0"/>
    <s v="northeast"/>
    <n v="17904.527050000001"/>
  </r>
  <r>
    <n v="42"/>
    <s v="female"/>
    <n v="26.18"/>
    <n v="1"/>
    <x v="1"/>
    <s v="southeast"/>
    <n v="7046.7222000000002"/>
  </r>
  <r>
    <n v="64"/>
    <s v="female"/>
    <n v="35.97"/>
    <n v="0"/>
    <x v="1"/>
    <s v="southeast"/>
    <n v="14313.846299999999"/>
  </r>
  <r>
    <n v="21"/>
    <s v="male"/>
    <n v="22.3"/>
    <n v="1"/>
    <x v="1"/>
    <s v="southwest"/>
    <n v="2103.08"/>
  </r>
  <r>
    <n v="18"/>
    <s v="female"/>
    <n v="42.24"/>
    <n v="0"/>
    <x v="0"/>
    <s v="southeast"/>
    <n v="38792.685599999997"/>
  </r>
  <r>
    <n v="23"/>
    <s v="male"/>
    <n v="26.51"/>
    <n v="0"/>
    <x v="1"/>
    <s v="southeast"/>
    <n v="1815.8759"/>
  </r>
  <r>
    <n v="45"/>
    <s v="female"/>
    <n v="35.814999999999998"/>
    <n v="0"/>
    <x v="1"/>
    <s v="northwest"/>
    <n v="7731.8578500000003"/>
  </r>
  <r>
    <n v="40"/>
    <s v="female"/>
    <n v="41.42"/>
    <n v="1"/>
    <x v="1"/>
    <s v="northwest"/>
    <n v="28476.734990000001"/>
  </r>
  <r>
    <n v="19"/>
    <s v="female"/>
    <n v="36.575000000000003"/>
    <n v="0"/>
    <x v="1"/>
    <s v="northwest"/>
    <n v="2136.8822500000001"/>
  </r>
  <r>
    <n v="18"/>
    <s v="male"/>
    <n v="30.14"/>
    <n v="0"/>
    <x v="1"/>
    <s v="southeast"/>
    <n v="1131.5065999999999"/>
  </r>
  <r>
    <n v="25"/>
    <s v="male"/>
    <n v="25.84"/>
    <n v="1"/>
    <x v="1"/>
    <s v="northeast"/>
    <n v="3309.7926000000002"/>
  </r>
  <r>
    <n v="46"/>
    <s v="female"/>
    <n v="30.8"/>
    <n v="3"/>
    <x v="1"/>
    <s v="southwest"/>
    <n v="9414.92"/>
  </r>
  <r>
    <n v="33"/>
    <s v="female"/>
    <n v="42.94"/>
    <n v="3"/>
    <x v="1"/>
    <s v="northwest"/>
    <n v="6360.9935999999998"/>
  </r>
  <r>
    <n v="54"/>
    <s v="male"/>
    <n v="21.01"/>
    <n v="2"/>
    <x v="1"/>
    <s v="southeast"/>
    <n v="11013.7119"/>
  </r>
  <r>
    <n v="28"/>
    <s v="male"/>
    <n v="22.515000000000001"/>
    <n v="2"/>
    <x v="1"/>
    <s v="northeast"/>
    <n v="4428.8878500000001"/>
  </r>
  <r>
    <n v="36"/>
    <s v="male"/>
    <n v="34.43"/>
    <n v="2"/>
    <x v="1"/>
    <s v="southeast"/>
    <n v="5584.3056999999999"/>
  </r>
  <r>
    <n v="20"/>
    <s v="female"/>
    <n v="31.46"/>
    <n v="0"/>
    <x v="1"/>
    <s v="southeast"/>
    <n v="1877.9294"/>
  </r>
  <r>
    <n v="24"/>
    <s v="female"/>
    <n v="24.225000000000001"/>
    <n v="0"/>
    <x v="1"/>
    <s v="northwest"/>
    <n v="2842.7607499999999"/>
  </r>
  <r>
    <n v="23"/>
    <s v="male"/>
    <n v="37.1"/>
    <n v="3"/>
    <x v="1"/>
    <s v="southwest"/>
    <n v="3597.596"/>
  </r>
  <r>
    <n v="47"/>
    <s v="female"/>
    <n v="26.125"/>
    <n v="1"/>
    <x v="0"/>
    <s v="northeast"/>
    <n v="23401.30575"/>
  </r>
  <r>
    <n v="33"/>
    <s v="female"/>
    <n v="35.53"/>
    <n v="0"/>
    <x v="0"/>
    <s v="northwest"/>
    <n v="55135.402090000003"/>
  </r>
  <r>
    <n v="45"/>
    <s v="male"/>
    <n v="33.700000000000003"/>
    <n v="1"/>
    <x v="1"/>
    <s v="southwest"/>
    <n v="7445.9179999999997"/>
  </r>
  <r>
    <n v="26"/>
    <s v="male"/>
    <n v="17.670000000000002"/>
    <n v="0"/>
    <x v="1"/>
    <s v="northwest"/>
    <n v="2680.9493000000002"/>
  </r>
  <r>
    <n v="18"/>
    <s v="female"/>
    <n v="31.13"/>
    <n v="0"/>
    <x v="1"/>
    <s v="southeast"/>
    <n v="1621.8827000000001"/>
  </r>
  <r>
    <n v="44"/>
    <s v="female"/>
    <n v="29.81"/>
    <n v="2"/>
    <x v="1"/>
    <s v="southeast"/>
    <n v="8219.2039000000004"/>
  </r>
  <r>
    <n v="60"/>
    <s v="male"/>
    <n v="24.32"/>
    <n v="0"/>
    <x v="1"/>
    <s v="northwest"/>
    <n v="12523.604799999999"/>
  </r>
  <r>
    <n v="64"/>
    <s v="female"/>
    <n v="31.824999999999999"/>
    <n v="2"/>
    <x v="1"/>
    <s v="northeast"/>
    <n v="16069.08475"/>
  </r>
  <r>
    <n v="56"/>
    <s v="male"/>
    <n v="31.79"/>
    <n v="2"/>
    <x v="0"/>
    <s v="southeast"/>
    <n v="43813.866099999999"/>
  </r>
  <r>
    <n v="36"/>
    <s v="male"/>
    <n v="28.024999999999999"/>
    <n v="1"/>
    <x v="0"/>
    <s v="northeast"/>
    <n v="20773.62775"/>
  </r>
  <r>
    <n v="41"/>
    <s v="male"/>
    <n v="30.78"/>
    <n v="3"/>
    <x v="0"/>
    <s v="northeast"/>
    <n v="39597.407200000001"/>
  </r>
  <r>
    <n v="39"/>
    <s v="male"/>
    <n v="21.85"/>
    <n v="1"/>
    <x v="1"/>
    <s v="northwest"/>
    <n v="6117.4944999999998"/>
  </r>
  <r>
    <n v="63"/>
    <s v="male"/>
    <n v="33.1"/>
    <n v="0"/>
    <x v="1"/>
    <s v="southwest"/>
    <n v="13393.755999999999"/>
  </r>
  <r>
    <n v="36"/>
    <s v="female"/>
    <n v="25.84"/>
    <n v="0"/>
    <x v="1"/>
    <s v="northwest"/>
    <n v="5266.3656000000001"/>
  </r>
  <r>
    <n v="28"/>
    <s v="female"/>
    <n v="23.844999999999999"/>
    <n v="2"/>
    <x v="1"/>
    <s v="northwest"/>
    <n v="4719.7365499999996"/>
  </r>
  <r>
    <n v="58"/>
    <s v="male"/>
    <n v="34.39"/>
    <n v="0"/>
    <x v="1"/>
    <s v="northwest"/>
    <n v="11743.9341"/>
  </r>
  <r>
    <n v="36"/>
    <s v="male"/>
    <n v="33.82"/>
    <n v="1"/>
    <x v="1"/>
    <s v="northwest"/>
    <n v="5377.4578000000001"/>
  </r>
  <r>
    <n v="42"/>
    <s v="male"/>
    <n v="35.97"/>
    <n v="2"/>
    <x v="1"/>
    <s v="southeast"/>
    <n v="7160.3302999999996"/>
  </r>
  <r>
    <n v="36"/>
    <s v="male"/>
    <n v="31.5"/>
    <n v="0"/>
    <x v="1"/>
    <s v="southwest"/>
    <n v="4402.2330000000002"/>
  </r>
  <r>
    <n v="56"/>
    <s v="female"/>
    <n v="28.31"/>
    <n v="0"/>
    <x v="1"/>
    <s v="northeast"/>
    <n v="11657.7189"/>
  </r>
  <r>
    <n v="35"/>
    <s v="female"/>
    <n v="23.465"/>
    <n v="2"/>
    <x v="1"/>
    <s v="northeast"/>
    <n v="6402.2913500000004"/>
  </r>
  <r>
    <n v="59"/>
    <s v="female"/>
    <n v="31.35"/>
    <n v="0"/>
    <x v="1"/>
    <s v="northwest"/>
    <n v="12622.1795"/>
  </r>
  <r>
    <n v="21"/>
    <s v="male"/>
    <n v="31.1"/>
    <n v="0"/>
    <x v="1"/>
    <s v="southwest"/>
    <n v="1526.3119999999999"/>
  </r>
  <r>
    <n v="59"/>
    <s v="male"/>
    <n v="24.7"/>
    <n v="0"/>
    <x v="1"/>
    <s v="northeast"/>
    <n v="12323.936"/>
  </r>
  <r>
    <n v="23"/>
    <s v="female"/>
    <n v="32.78"/>
    <n v="2"/>
    <x v="0"/>
    <s v="southeast"/>
    <n v="36021.011200000001"/>
  </r>
  <r>
    <n v="57"/>
    <s v="female"/>
    <n v="29.81"/>
    <n v="0"/>
    <x v="0"/>
    <s v="southeast"/>
    <n v="27533.912899999999"/>
  </r>
  <r>
    <n v="53"/>
    <s v="male"/>
    <n v="30.495000000000001"/>
    <n v="0"/>
    <x v="1"/>
    <s v="northeast"/>
    <n v="10072.055050000001"/>
  </r>
  <r>
    <n v="60"/>
    <s v="female"/>
    <n v="32.450000000000003"/>
    <n v="0"/>
    <x v="0"/>
    <s v="southeast"/>
    <n v="45008.955499999996"/>
  </r>
  <r>
    <n v="51"/>
    <s v="female"/>
    <n v="34.200000000000003"/>
    <n v="1"/>
    <x v="1"/>
    <s v="southwest"/>
    <n v="9872.7009999999991"/>
  </r>
  <r>
    <n v="23"/>
    <s v="male"/>
    <n v="50.38"/>
    <n v="1"/>
    <x v="1"/>
    <s v="southeast"/>
    <n v="2438.0551999999998"/>
  </r>
  <r>
    <n v="27"/>
    <s v="female"/>
    <n v="24.1"/>
    <n v="0"/>
    <x v="1"/>
    <s v="southwest"/>
    <n v="2974.1260000000002"/>
  </r>
  <r>
    <n v="55"/>
    <s v="male"/>
    <n v="32.774999999999999"/>
    <n v="0"/>
    <x v="1"/>
    <s v="northwest"/>
    <n v="10601.632250000001"/>
  </r>
  <r>
    <n v="37"/>
    <s v="female"/>
    <n v="30.78"/>
    <n v="0"/>
    <x v="0"/>
    <s v="northeast"/>
    <n v="37270.1512"/>
  </r>
  <r>
    <n v="61"/>
    <s v="male"/>
    <n v="32.299999999999997"/>
    <n v="2"/>
    <x v="1"/>
    <s v="northwest"/>
    <n v="14119.62"/>
  </r>
  <r>
    <n v="46"/>
    <s v="female"/>
    <n v="35.53"/>
    <n v="0"/>
    <x v="0"/>
    <s v="northeast"/>
    <n v="42111.664700000001"/>
  </r>
  <r>
    <n v="53"/>
    <s v="female"/>
    <n v="23.75"/>
    <n v="2"/>
    <x v="1"/>
    <s v="northeast"/>
    <n v="11729.6795"/>
  </r>
  <r>
    <n v="49"/>
    <s v="female"/>
    <n v="23.844999999999999"/>
    <n v="3"/>
    <x v="0"/>
    <s v="northeast"/>
    <n v="24106.912550000001"/>
  </r>
  <r>
    <n v="20"/>
    <s v="female"/>
    <n v="29.6"/>
    <n v="0"/>
    <x v="1"/>
    <s v="southwest"/>
    <n v="1875.3440000000001"/>
  </r>
  <r>
    <n v="48"/>
    <s v="female"/>
    <n v="33.11"/>
    <n v="0"/>
    <x v="0"/>
    <s v="southeast"/>
    <n v="40974.164900000003"/>
  </r>
  <r>
    <n v="25"/>
    <s v="male"/>
    <n v="24.13"/>
    <n v="0"/>
    <x v="0"/>
    <s v="northwest"/>
    <n v="15817.985699999999"/>
  </r>
  <r>
    <n v="25"/>
    <s v="female"/>
    <n v="32.229999999999997"/>
    <n v="1"/>
    <x v="1"/>
    <s v="southeast"/>
    <n v="18218.161390000001"/>
  </r>
  <r>
    <n v="57"/>
    <s v="male"/>
    <n v="28.1"/>
    <n v="0"/>
    <x v="1"/>
    <s v="southwest"/>
    <n v="10965.446"/>
  </r>
  <r>
    <n v="37"/>
    <s v="female"/>
    <n v="47.6"/>
    <n v="2"/>
    <x v="0"/>
    <s v="southwest"/>
    <n v="46113.510999999999"/>
  </r>
  <r>
    <n v="38"/>
    <s v="female"/>
    <n v="28"/>
    <n v="3"/>
    <x v="1"/>
    <s v="southwest"/>
    <n v="7151.0919999999996"/>
  </r>
  <r>
    <n v="55"/>
    <s v="female"/>
    <n v="33.534999999999997"/>
    <n v="2"/>
    <x v="1"/>
    <s v="northwest"/>
    <n v="12269.68865"/>
  </r>
  <r>
    <n v="36"/>
    <s v="female"/>
    <n v="19.855"/>
    <n v="0"/>
    <x v="1"/>
    <s v="northeast"/>
    <n v="5458.0464499999998"/>
  </r>
  <r>
    <n v="51"/>
    <s v="male"/>
    <n v="25.4"/>
    <n v="0"/>
    <x v="1"/>
    <s v="southwest"/>
    <n v="8782.4689999999991"/>
  </r>
  <r>
    <n v="40"/>
    <s v="male"/>
    <n v="29.9"/>
    <n v="2"/>
    <x v="1"/>
    <s v="southwest"/>
    <n v="6600.3609999999999"/>
  </r>
  <r>
    <n v="18"/>
    <s v="male"/>
    <n v="37.29"/>
    <n v="0"/>
    <x v="1"/>
    <s v="southeast"/>
    <n v="1141.4450999999999"/>
  </r>
  <r>
    <n v="57"/>
    <s v="male"/>
    <n v="43.7"/>
    <n v="1"/>
    <x v="1"/>
    <s v="southwest"/>
    <n v="11576.13"/>
  </r>
  <r>
    <n v="61"/>
    <s v="male"/>
    <n v="23.655000000000001"/>
    <n v="0"/>
    <x v="1"/>
    <s v="northeast"/>
    <n v="13129.603450000001"/>
  </r>
  <r>
    <n v="25"/>
    <s v="female"/>
    <n v="24.3"/>
    <n v="3"/>
    <x v="1"/>
    <s v="southwest"/>
    <n v="4391.652"/>
  </r>
  <r>
    <n v="50"/>
    <s v="male"/>
    <n v="36.200000000000003"/>
    <n v="0"/>
    <x v="1"/>
    <s v="southwest"/>
    <n v="8457.8179999999993"/>
  </r>
  <r>
    <n v="26"/>
    <s v="female"/>
    <n v="29.48"/>
    <n v="1"/>
    <x v="1"/>
    <s v="southeast"/>
    <n v="3392.3652000000002"/>
  </r>
  <r>
    <n v="42"/>
    <s v="male"/>
    <n v="24.86"/>
    <n v="0"/>
    <x v="1"/>
    <s v="southeast"/>
    <n v="5966.8873999999996"/>
  </r>
  <r>
    <n v="43"/>
    <s v="male"/>
    <n v="30.1"/>
    <n v="1"/>
    <x v="1"/>
    <s v="southwest"/>
    <n v="6849.0259999999998"/>
  </r>
  <r>
    <n v="44"/>
    <s v="male"/>
    <n v="21.85"/>
    <n v="3"/>
    <x v="1"/>
    <s v="northeast"/>
    <n v="8891.1394999999993"/>
  </r>
  <r>
    <n v="23"/>
    <s v="female"/>
    <n v="28.12"/>
    <n v="0"/>
    <x v="1"/>
    <s v="northwest"/>
    <n v="2690.1138000000001"/>
  </r>
  <r>
    <n v="49"/>
    <s v="female"/>
    <n v="27.1"/>
    <n v="1"/>
    <x v="1"/>
    <s v="southwest"/>
    <n v="26140.3603"/>
  </r>
  <r>
    <n v="33"/>
    <s v="male"/>
    <n v="33.44"/>
    <n v="5"/>
    <x v="1"/>
    <s v="southeast"/>
    <n v="6653.7885999999999"/>
  </r>
  <r>
    <n v="41"/>
    <s v="male"/>
    <n v="28.8"/>
    <n v="1"/>
    <x v="1"/>
    <s v="southwest"/>
    <n v="6282.2349999999997"/>
  </r>
  <r>
    <n v="37"/>
    <s v="female"/>
    <n v="29.5"/>
    <n v="2"/>
    <x v="1"/>
    <s v="southwest"/>
    <n v="6311.9520000000002"/>
  </r>
  <r>
    <n v="22"/>
    <s v="male"/>
    <n v="34.799999999999997"/>
    <n v="3"/>
    <x v="1"/>
    <s v="southwest"/>
    <n v="3443.0639999999999"/>
  </r>
  <r>
    <n v="23"/>
    <s v="male"/>
    <n v="27.36"/>
    <n v="1"/>
    <x v="1"/>
    <s v="northwest"/>
    <n v="2789.0574000000001"/>
  </r>
  <r>
    <n v="21"/>
    <s v="female"/>
    <n v="22.135000000000002"/>
    <n v="0"/>
    <x v="1"/>
    <s v="northeast"/>
    <n v="2585.8506499999999"/>
  </r>
  <r>
    <n v="51"/>
    <s v="female"/>
    <n v="37.049999999999997"/>
    <n v="3"/>
    <x v="0"/>
    <s v="northeast"/>
    <n v="46255.112500000003"/>
  </r>
  <r>
    <n v="25"/>
    <s v="male"/>
    <n v="26.695"/>
    <n v="4"/>
    <x v="1"/>
    <s v="northwest"/>
    <n v="4877.9810500000003"/>
  </r>
  <r>
    <n v="32"/>
    <s v="male"/>
    <n v="28.93"/>
    <n v="1"/>
    <x v="0"/>
    <s v="southeast"/>
    <n v="19719.6947"/>
  </r>
  <r>
    <n v="57"/>
    <s v="male"/>
    <n v="28.975000000000001"/>
    <n v="0"/>
    <x v="0"/>
    <s v="northeast"/>
    <n v="27218.437249999999"/>
  </r>
  <r>
    <n v="36"/>
    <s v="female"/>
    <n v="30.02"/>
    <n v="0"/>
    <x v="1"/>
    <s v="northwest"/>
    <n v="5272.1758"/>
  </r>
  <r>
    <n v="22"/>
    <s v="male"/>
    <n v="39.5"/>
    <n v="0"/>
    <x v="1"/>
    <s v="southwest"/>
    <n v="1682.597"/>
  </r>
  <r>
    <n v="57"/>
    <s v="male"/>
    <n v="33.630000000000003"/>
    <n v="1"/>
    <x v="1"/>
    <s v="northwest"/>
    <n v="11945.1327"/>
  </r>
  <r>
    <n v="64"/>
    <s v="female"/>
    <n v="26.885000000000002"/>
    <n v="0"/>
    <x v="0"/>
    <s v="northwest"/>
    <n v="29330.98315"/>
  </r>
  <r>
    <n v="36"/>
    <s v="female"/>
    <n v="29.04"/>
    <n v="4"/>
    <x v="1"/>
    <s v="southeast"/>
    <n v="7243.8136000000004"/>
  </r>
  <r>
    <n v="54"/>
    <s v="male"/>
    <n v="24.035"/>
    <n v="0"/>
    <x v="1"/>
    <s v="northeast"/>
    <n v="10422.916649999999"/>
  </r>
  <r>
    <n v="47"/>
    <s v="male"/>
    <n v="38.94"/>
    <n v="2"/>
    <x v="0"/>
    <s v="southeast"/>
    <n v="44202.653599999998"/>
  </r>
  <r>
    <n v="62"/>
    <s v="male"/>
    <n v="32.11"/>
    <n v="0"/>
    <x v="1"/>
    <s v="northeast"/>
    <n v="13555.0049"/>
  </r>
  <r>
    <n v="61"/>
    <s v="female"/>
    <n v="44"/>
    <n v="0"/>
    <x v="1"/>
    <s v="southwest"/>
    <n v="13063.883"/>
  </r>
  <r>
    <n v="43"/>
    <s v="female"/>
    <n v="20.045000000000002"/>
    <n v="2"/>
    <x v="0"/>
    <s v="northeast"/>
    <n v="19798.054550000001"/>
  </r>
  <r>
    <n v="19"/>
    <s v="male"/>
    <n v="25.555"/>
    <n v="1"/>
    <x v="1"/>
    <s v="northwest"/>
    <n v="2221.5644499999999"/>
  </r>
  <r>
    <n v="18"/>
    <s v="female"/>
    <n v="40.26"/>
    <n v="0"/>
    <x v="1"/>
    <s v="southeast"/>
    <n v="1634.5734"/>
  </r>
  <r>
    <n v="19"/>
    <s v="female"/>
    <n v="22.515000000000001"/>
    <n v="0"/>
    <x v="1"/>
    <s v="northwest"/>
    <n v="2117.3388500000001"/>
  </r>
  <r>
    <n v="49"/>
    <s v="male"/>
    <n v="22.515000000000001"/>
    <n v="0"/>
    <x v="1"/>
    <s v="northeast"/>
    <n v="8688.8588500000005"/>
  </r>
  <r>
    <n v="60"/>
    <s v="male"/>
    <n v="40.92"/>
    <n v="0"/>
    <x v="0"/>
    <s v="southeast"/>
    <n v="48673.558799999999"/>
  </r>
  <r>
    <n v="26"/>
    <s v="male"/>
    <n v="27.265000000000001"/>
    <n v="3"/>
    <x v="1"/>
    <s v="northeast"/>
    <n v="4661.2863500000003"/>
  </r>
  <r>
    <n v="49"/>
    <s v="male"/>
    <n v="36.85"/>
    <n v="0"/>
    <x v="1"/>
    <s v="southeast"/>
    <n v="8125.7844999999998"/>
  </r>
  <r>
    <n v="60"/>
    <s v="female"/>
    <n v="35.1"/>
    <n v="0"/>
    <x v="1"/>
    <s v="southwest"/>
    <n v="12644.589"/>
  </r>
  <r>
    <n v="26"/>
    <s v="female"/>
    <n v="29.355"/>
    <n v="2"/>
    <x v="1"/>
    <s v="northeast"/>
    <n v="4564.1914500000003"/>
  </r>
  <r>
    <n v="27"/>
    <s v="male"/>
    <n v="32.585000000000001"/>
    <n v="3"/>
    <x v="1"/>
    <s v="northeast"/>
    <n v="4846.9201499999999"/>
  </r>
  <r>
    <n v="44"/>
    <s v="female"/>
    <n v="32.340000000000003"/>
    <n v="1"/>
    <x v="1"/>
    <s v="southeast"/>
    <n v="7633.7205999999996"/>
  </r>
  <r>
    <n v="63"/>
    <s v="male"/>
    <n v="39.799999999999997"/>
    <n v="3"/>
    <x v="1"/>
    <s v="southwest"/>
    <n v="15170.069"/>
  </r>
  <r>
    <n v="32"/>
    <s v="female"/>
    <n v="24.6"/>
    <n v="0"/>
    <x v="0"/>
    <s v="southwest"/>
    <n v="17496.306"/>
  </r>
  <r>
    <n v="22"/>
    <s v="male"/>
    <n v="28.31"/>
    <n v="1"/>
    <x v="1"/>
    <s v="northwest"/>
    <n v="2639.0428999999999"/>
  </r>
  <r>
    <n v="18"/>
    <s v="male"/>
    <n v="31.73"/>
    <n v="0"/>
    <x v="0"/>
    <s v="northeast"/>
    <n v="33732.686699999998"/>
  </r>
  <r>
    <n v="59"/>
    <s v="female"/>
    <n v="26.695"/>
    <n v="3"/>
    <x v="1"/>
    <s v="northwest"/>
    <n v="14382.709049999999"/>
  </r>
  <r>
    <n v="44"/>
    <s v="female"/>
    <n v="27.5"/>
    <n v="1"/>
    <x v="1"/>
    <s v="southwest"/>
    <n v="7626.9930000000004"/>
  </r>
  <r>
    <n v="33"/>
    <s v="male"/>
    <n v="24.605"/>
    <n v="2"/>
    <x v="1"/>
    <s v="northwest"/>
    <n v="5257.5079500000002"/>
  </r>
  <r>
    <n v="24"/>
    <s v="female"/>
    <n v="33.99"/>
    <n v="0"/>
    <x v="1"/>
    <s v="southeast"/>
    <n v="2473.3341"/>
  </r>
  <r>
    <n v="43"/>
    <s v="female"/>
    <n v="26.885000000000002"/>
    <n v="0"/>
    <x v="0"/>
    <s v="northwest"/>
    <n v="21774.32215"/>
  </r>
  <r>
    <n v="45"/>
    <s v="male"/>
    <n v="22.895"/>
    <n v="0"/>
    <x v="0"/>
    <s v="northeast"/>
    <n v="35069.374519999998"/>
  </r>
  <r>
    <n v="61"/>
    <s v="female"/>
    <n v="28.2"/>
    <n v="0"/>
    <x v="1"/>
    <s v="southwest"/>
    <n v="13041.921"/>
  </r>
  <r>
    <n v="35"/>
    <s v="female"/>
    <n v="34.21"/>
    <n v="1"/>
    <x v="1"/>
    <s v="southeast"/>
    <n v="5245.2268999999997"/>
  </r>
  <r>
    <n v="62"/>
    <s v="female"/>
    <n v="25"/>
    <n v="0"/>
    <x v="1"/>
    <s v="southwest"/>
    <n v="13451.121999999999"/>
  </r>
  <r>
    <n v="62"/>
    <s v="female"/>
    <n v="33.200000000000003"/>
    <n v="0"/>
    <x v="1"/>
    <s v="southwest"/>
    <n v="13462.52"/>
  </r>
  <r>
    <n v="38"/>
    <s v="male"/>
    <n v="31"/>
    <n v="1"/>
    <x v="1"/>
    <s v="southwest"/>
    <n v="5488.2619999999997"/>
  </r>
  <r>
    <n v="34"/>
    <s v="male"/>
    <n v="35.814999999999998"/>
    <n v="0"/>
    <x v="1"/>
    <s v="northwest"/>
    <n v="4320.4108500000002"/>
  </r>
  <r>
    <n v="43"/>
    <s v="male"/>
    <n v="23.2"/>
    <n v="0"/>
    <x v="1"/>
    <s v="southwest"/>
    <n v="6250.4350000000004"/>
  </r>
  <r>
    <n v="50"/>
    <s v="male"/>
    <n v="32.11"/>
    <n v="2"/>
    <x v="1"/>
    <s v="northeast"/>
    <n v="25333.332839999999"/>
  </r>
  <r>
    <n v="19"/>
    <s v="female"/>
    <n v="23.4"/>
    <n v="2"/>
    <x v="1"/>
    <s v="southwest"/>
    <n v="2913.569"/>
  </r>
  <r>
    <n v="57"/>
    <s v="female"/>
    <n v="20.100000000000001"/>
    <n v="1"/>
    <x v="1"/>
    <s v="southwest"/>
    <n v="12032.325999999999"/>
  </r>
  <r>
    <n v="62"/>
    <s v="female"/>
    <n v="39.159999999999997"/>
    <n v="0"/>
    <x v="1"/>
    <s v="southeast"/>
    <n v="13470.804400000001"/>
  </r>
  <r>
    <n v="41"/>
    <s v="male"/>
    <n v="34.21"/>
    <n v="1"/>
    <x v="1"/>
    <s v="southeast"/>
    <n v="6289.7548999999999"/>
  </r>
  <r>
    <n v="26"/>
    <s v="male"/>
    <n v="46.53"/>
    <n v="1"/>
    <x v="1"/>
    <s v="southeast"/>
    <n v="2927.0646999999999"/>
  </r>
  <r>
    <n v="39"/>
    <s v="female"/>
    <n v="32.5"/>
    <n v="1"/>
    <x v="1"/>
    <s v="southwest"/>
    <n v="6238.2979999999998"/>
  </r>
  <r>
    <n v="46"/>
    <s v="male"/>
    <n v="25.8"/>
    <n v="5"/>
    <x v="1"/>
    <s v="southwest"/>
    <n v="10096.969999999999"/>
  </r>
  <r>
    <n v="45"/>
    <s v="female"/>
    <n v="35.299999999999997"/>
    <n v="0"/>
    <x v="1"/>
    <s v="southwest"/>
    <n v="7348.1419999999998"/>
  </r>
  <r>
    <n v="32"/>
    <s v="male"/>
    <n v="37.18"/>
    <n v="2"/>
    <x v="1"/>
    <s v="southeast"/>
    <n v="4673.3922000000002"/>
  </r>
  <r>
    <n v="59"/>
    <s v="female"/>
    <n v="27.5"/>
    <n v="0"/>
    <x v="1"/>
    <s v="southwest"/>
    <n v="12233.828"/>
  </r>
  <r>
    <n v="44"/>
    <s v="male"/>
    <n v="29.734999999999999"/>
    <n v="2"/>
    <x v="1"/>
    <s v="northeast"/>
    <n v="32108.662820000001"/>
  </r>
  <r>
    <n v="39"/>
    <s v="female"/>
    <n v="24.225000000000001"/>
    <n v="5"/>
    <x v="1"/>
    <s v="northwest"/>
    <n v="8965.7957499999993"/>
  </r>
  <r>
    <n v="18"/>
    <s v="male"/>
    <n v="26.18"/>
    <n v="2"/>
    <x v="1"/>
    <s v="southeast"/>
    <n v="2304.0021999999999"/>
  </r>
  <r>
    <n v="53"/>
    <s v="male"/>
    <n v="29.48"/>
    <n v="0"/>
    <x v="1"/>
    <s v="southeast"/>
    <n v="9487.6442000000006"/>
  </r>
  <r>
    <n v="18"/>
    <s v="male"/>
    <n v="23.21"/>
    <n v="0"/>
    <x v="1"/>
    <s v="southeast"/>
    <n v="1121.8739"/>
  </r>
  <r>
    <n v="50"/>
    <s v="female"/>
    <n v="46.09"/>
    <n v="1"/>
    <x v="1"/>
    <s v="southeast"/>
    <n v="9549.5650999999998"/>
  </r>
  <r>
    <n v="18"/>
    <s v="female"/>
    <n v="40.185000000000002"/>
    <n v="0"/>
    <x v="1"/>
    <s v="northeast"/>
    <n v="2217.4691499999999"/>
  </r>
  <r>
    <n v="19"/>
    <s v="male"/>
    <n v="22.61"/>
    <n v="0"/>
    <x v="1"/>
    <s v="northwest"/>
    <n v="1628.4709"/>
  </r>
  <r>
    <n v="62"/>
    <s v="male"/>
    <n v="39.93"/>
    <n v="0"/>
    <x v="1"/>
    <s v="southeast"/>
    <n v="12982.8747"/>
  </r>
  <r>
    <n v="56"/>
    <s v="female"/>
    <n v="35.799999999999997"/>
    <n v="1"/>
    <x v="1"/>
    <s v="southwest"/>
    <n v="11674.13"/>
  </r>
  <r>
    <n v="42"/>
    <s v="male"/>
    <n v="35.799999999999997"/>
    <n v="2"/>
    <x v="1"/>
    <s v="southwest"/>
    <n v="7160.0940000000001"/>
  </r>
  <r>
    <n v="37"/>
    <s v="male"/>
    <n v="34.200000000000003"/>
    <n v="1"/>
    <x v="0"/>
    <s v="northeast"/>
    <n v="39047.285000000003"/>
  </r>
  <r>
    <n v="42"/>
    <s v="male"/>
    <n v="31.254999999999999"/>
    <n v="0"/>
    <x v="1"/>
    <s v="northwest"/>
    <n v="6358.7764500000003"/>
  </r>
  <r>
    <n v="25"/>
    <s v="male"/>
    <n v="29.7"/>
    <n v="3"/>
    <x v="0"/>
    <s v="southwest"/>
    <n v="19933.457999999999"/>
  </r>
  <r>
    <n v="57"/>
    <s v="male"/>
    <n v="18.335000000000001"/>
    <n v="0"/>
    <x v="1"/>
    <s v="northeast"/>
    <n v="11534.872649999999"/>
  </r>
  <r>
    <n v="51"/>
    <s v="male"/>
    <n v="42.9"/>
    <n v="2"/>
    <x v="0"/>
    <s v="southeast"/>
    <n v="47462.894"/>
  </r>
  <r>
    <n v="30"/>
    <s v="female"/>
    <n v="28.405000000000001"/>
    <n v="1"/>
    <x v="1"/>
    <s v="northwest"/>
    <n v="4527.1829500000003"/>
  </r>
  <r>
    <n v="44"/>
    <s v="male"/>
    <n v="30.2"/>
    <n v="2"/>
    <x v="0"/>
    <s v="southwest"/>
    <n v="38998.546000000002"/>
  </r>
  <r>
    <n v="34"/>
    <s v="male"/>
    <n v="27.835000000000001"/>
    <n v="1"/>
    <x v="0"/>
    <s v="northwest"/>
    <n v="20009.63365"/>
  </r>
  <r>
    <n v="31"/>
    <s v="male"/>
    <n v="39.49"/>
    <n v="1"/>
    <x v="1"/>
    <s v="southeast"/>
    <n v="3875.7341000000001"/>
  </r>
  <r>
    <n v="54"/>
    <s v="male"/>
    <n v="30.8"/>
    <n v="1"/>
    <x v="0"/>
    <s v="southeast"/>
    <n v="41999.519999999997"/>
  </r>
  <r>
    <n v="24"/>
    <s v="male"/>
    <n v="26.79"/>
    <n v="1"/>
    <x v="1"/>
    <s v="northwest"/>
    <n v="12609.88702"/>
  </r>
  <r>
    <n v="43"/>
    <s v="male"/>
    <n v="34.96"/>
    <n v="1"/>
    <x v="0"/>
    <s v="northeast"/>
    <n v="41034.221400000002"/>
  </r>
  <r>
    <n v="48"/>
    <s v="male"/>
    <n v="36.67"/>
    <n v="1"/>
    <x v="1"/>
    <s v="northwest"/>
    <n v="28468.919010000001"/>
  </r>
  <r>
    <n v="19"/>
    <s v="female"/>
    <n v="39.615000000000002"/>
    <n v="1"/>
    <x v="1"/>
    <s v="northwest"/>
    <n v="2730.1078499999999"/>
  </r>
  <r>
    <n v="29"/>
    <s v="female"/>
    <n v="25.9"/>
    <n v="0"/>
    <x v="1"/>
    <s v="southwest"/>
    <n v="3353.2840000000001"/>
  </r>
  <r>
    <n v="63"/>
    <s v="female"/>
    <n v="35.200000000000003"/>
    <n v="1"/>
    <x v="1"/>
    <s v="southeast"/>
    <n v="14474.674999999999"/>
  </r>
  <r>
    <n v="46"/>
    <s v="male"/>
    <n v="24.795000000000002"/>
    <n v="3"/>
    <x v="1"/>
    <s v="northeast"/>
    <n v="9500.5730500000009"/>
  </r>
  <r>
    <n v="52"/>
    <s v="male"/>
    <n v="36.765000000000001"/>
    <n v="2"/>
    <x v="1"/>
    <s v="northwest"/>
    <n v="26467.09737"/>
  </r>
  <r>
    <n v="35"/>
    <s v="male"/>
    <n v="27.1"/>
    <n v="1"/>
    <x v="1"/>
    <s v="southwest"/>
    <n v="4746.3440000000001"/>
  </r>
  <r>
    <n v="51"/>
    <s v="male"/>
    <n v="24.795000000000002"/>
    <n v="2"/>
    <x v="0"/>
    <s v="northwest"/>
    <n v="23967.38305"/>
  </r>
  <r>
    <n v="44"/>
    <s v="male"/>
    <n v="25.364999999999998"/>
    <n v="1"/>
    <x v="1"/>
    <s v="northwest"/>
    <n v="7518.0253499999999"/>
  </r>
  <r>
    <n v="21"/>
    <s v="male"/>
    <n v="25.745000000000001"/>
    <n v="2"/>
    <x v="1"/>
    <s v="northeast"/>
    <n v="3279.8685500000001"/>
  </r>
  <r>
    <n v="39"/>
    <s v="female"/>
    <n v="34.32"/>
    <n v="5"/>
    <x v="1"/>
    <s v="southeast"/>
    <n v="8596.8277999999991"/>
  </r>
  <r>
    <n v="50"/>
    <s v="female"/>
    <n v="28.16"/>
    <n v="3"/>
    <x v="1"/>
    <s v="southeast"/>
    <n v="10702.642400000001"/>
  </r>
  <r>
    <n v="34"/>
    <s v="female"/>
    <n v="23.56"/>
    <n v="0"/>
    <x v="1"/>
    <s v="northeast"/>
    <n v="4992.3764000000001"/>
  </r>
  <r>
    <n v="22"/>
    <s v="female"/>
    <n v="20.234999999999999"/>
    <n v="0"/>
    <x v="1"/>
    <s v="northwest"/>
    <n v="2527.8186500000002"/>
  </r>
  <r>
    <n v="19"/>
    <s v="female"/>
    <n v="40.5"/>
    <n v="0"/>
    <x v="1"/>
    <s v="southwest"/>
    <n v="1759.338"/>
  </r>
  <r>
    <n v="26"/>
    <s v="male"/>
    <n v="35.42"/>
    <n v="0"/>
    <x v="1"/>
    <s v="southeast"/>
    <n v="2322.6217999999999"/>
  </r>
  <r>
    <n v="29"/>
    <s v="male"/>
    <n v="22.895"/>
    <n v="0"/>
    <x v="0"/>
    <s v="northeast"/>
    <n v="16138.762049999999"/>
  </r>
  <r>
    <n v="48"/>
    <s v="male"/>
    <n v="40.15"/>
    <n v="0"/>
    <x v="1"/>
    <s v="southeast"/>
    <n v="7804.1605"/>
  </r>
  <r>
    <n v="26"/>
    <s v="male"/>
    <n v="29.15"/>
    <n v="1"/>
    <x v="1"/>
    <s v="southeast"/>
    <n v="2902.9065000000001"/>
  </r>
  <r>
    <n v="45"/>
    <s v="female"/>
    <n v="39.994999999999997"/>
    <n v="3"/>
    <x v="1"/>
    <s v="northeast"/>
    <n v="9704.6680500000002"/>
  </r>
  <r>
    <n v="36"/>
    <s v="female"/>
    <n v="29.92"/>
    <n v="0"/>
    <x v="1"/>
    <s v="southeast"/>
    <n v="4889.0367999999999"/>
  </r>
  <r>
    <n v="54"/>
    <s v="male"/>
    <n v="25.46"/>
    <n v="1"/>
    <x v="1"/>
    <s v="northeast"/>
    <n v="25517.11363"/>
  </r>
  <r>
    <n v="34"/>
    <s v="male"/>
    <n v="21.375"/>
    <n v="0"/>
    <x v="1"/>
    <s v="northeast"/>
    <n v="4500.33925"/>
  </r>
  <r>
    <n v="31"/>
    <s v="male"/>
    <n v="25.9"/>
    <n v="3"/>
    <x v="0"/>
    <s v="southwest"/>
    <n v="19199.944"/>
  </r>
  <r>
    <n v="27"/>
    <s v="female"/>
    <n v="30.59"/>
    <n v="1"/>
    <x v="1"/>
    <s v="northeast"/>
    <n v="16796.411940000002"/>
  </r>
  <r>
    <n v="20"/>
    <s v="male"/>
    <n v="30.114999999999998"/>
    <n v="5"/>
    <x v="1"/>
    <s v="northeast"/>
    <n v="4915.0598499999996"/>
  </r>
  <r>
    <n v="44"/>
    <s v="female"/>
    <n v="25.8"/>
    <n v="1"/>
    <x v="1"/>
    <s v="southwest"/>
    <n v="7624.63"/>
  </r>
  <r>
    <n v="43"/>
    <s v="male"/>
    <n v="30.114999999999998"/>
    <n v="3"/>
    <x v="1"/>
    <s v="northwest"/>
    <n v="8410.0468500000006"/>
  </r>
  <r>
    <n v="45"/>
    <s v="female"/>
    <n v="27.645"/>
    <n v="1"/>
    <x v="1"/>
    <s v="northwest"/>
    <n v="28340.188849999999"/>
  </r>
  <r>
    <n v="34"/>
    <s v="male"/>
    <n v="34.674999999999997"/>
    <n v="0"/>
    <x v="1"/>
    <s v="northeast"/>
    <n v="4518.8262500000001"/>
  </r>
  <r>
    <n v="24"/>
    <s v="female"/>
    <n v="20.52"/>
    <n v="0"/>
    <x v="0"/>
    <s v="northeast"/>
    <n v="14571.890799999999"/>
  </r>
  <r>
    <n v="26"/>
    <s v="female"/>
    <n v="19.8"/>
    <n v="1"/>
    <x v="1"/>
    <s v="southwest"/>
    <n v="3378.91"/>
  </r>
  <r>
    <n v="38"/>
    <s v="female"/>
    <n v="27.835000000000001"/>
    <n v="2"/>
    <x v="1"/>
    <s v="northeast"/>
    <n v="7144.86265"/>
  </r>
  <r>
    <n v="50"/>
    <s v="female"/>
    <n v="31.6"/>
    <n v="2"/>
    <x v="1"/>
    <s v="southwest"/>
    <n v="10118.424000000001"/>
  </r>
  <r>
    <n v="38"/>
    <s v="male"/>
    <n v="28.27"/>
    <n v="1"/>
    <x v="1"/>
    <s v="southeast"/>
    <n v="5484.4673000000003"/>
  </r>
  <r>
    <n v="27"/>
    <s v="female"/>
    <n v="20.045000000000002"/>
    <n v="3"/>
    <x v="0"/>
    <s v="northwest"/>
    <n v="16420.494549999999"/>
  </r>
  <r>
    <n v="39"/>
    <s v="female"/>
    <n v="23.274999999999999"/>
    <n v="3"/>
    <x v="1"/>
    <s v="northeast"/>
    <n v="7986.4752500000004"/>
  </r>
  <r>
    <n v="39"/>
    <s v="female"/>
    <n v="34.1"/>
    <n v="3"/>
    <x v="1"/>
    <s v="southwest"/>
    <n v="7418.5219999999999"/>
  </r>
  <r>
    <n v="63"/>
    <s v="female"/>
    <n v="36.85"/>
    <n v="0"/>
    <x v="1"/>
    <s v="southeast"/>
    <n v="13887.968500000001"/>
  </r>
  <r>
    <n v="33"/>
    <s v="female"/>
    <n v="36.29"/>
    <n v="3"/>
    <x v="1"/>
    <s v="northeast"/>
    <n v="6551.7501000000002"/>
  </r>
  <r>
    <n v="36"/>
    <s v="female"/>
    <n v="26.885000000000002"/>
    <n v="0"/>
    <x v="1"/>
    <s v="northwest"/>
    <n v="5267.8181500000001"/>
  </r>
  <r>
    <n v="30"/>
    <s v="male"/>
    <n v="22.99"/>
    <n v="2"/>
    <x v="0"/>
    <s v="northwest"/>
    <n v="17361.766100000001"/>
  </r>
  <r>
    <n v="24"/>
    <s v="male"/>
    <n v="32.700000000000003"/>
    <n v="0"/>
    <x v="0"/>
    <s v="southwest"/>
    <n v="34472.841"/>
  </r>
  <r>
    <n v="24"/>
    <s v="male"/>
    <n v="25.8"/>
    <n v="0"/>
    <x v="1"/>
    <s v="southwest"/>
    <n v="1972.95"/>
  </r>
  <r>
    <n v="48"/>
    <s v="male"/>
    <n v="29.6"/>
    <n v="0"/>
    <x v="1"/>
    <s v="southwest"/>
    <n v="21232.182260000001"/>
  </r>
  <r>
    <n v="47"/>
    <s v="male"/>
    <n v="19.190000000000001"/>
    <n v="1"/>
    <x v="1"/>
    <s v="northeast"/>
    <n v="8627.5411000000004"/>
  </r>
  <r>
    <n v="29"/>
    <s v="male"/>
    <n v="31.73"/>
    <n v="2"/>
    <x v="1"/>
    <s v="northwest"/>
    <n v="4433.3877000000002"/>
  </r>
  <r>
    <n v="28"/>
    <s v="male"/>
    <n v="29.26"/>
    <n v="2"/>
    <x v="1"/>
    <s v="northeast"/>
    <n v="4438.2633999999998"/>
  </r>
  <r>
    <n v="47"/>
    <s v="male"/>
    <n v="28.215"/>
    <n v="3"/>
    <x v="0"/>
    <s v="northwest"/>
    <n v="24915.220850000002"/>
  </r>
  <r>
    <n v="25"/>
    <s v="male"/>
    <n v="24.984999999999999"/>
    <n v="2"/>
    <x v="1"/>
    <s v="northeast"/>
    <n v="23241.47453"/>
  </r>
  <r>
    <n v="51"/>
    <s v="male"/>
    <n v="27.74"/>
    <n v="1"/>
    <x v="1"/>
    <s v="northeast"/>
    <n v="9957.7216000000008"/>
  </r>
  <r>
    <n v="48"/>
    <s v="female"/>
    <n v="22.8"/>
    <n v="0"/>
    <x v="1"/>
    <s v="southwest"/>
    <n v="8269.0439999999999"/>
  </r>
  <r>
    <n v="43"/>
    <s v="male"/>
    <n v="20.13"/>
    <n v="2"/>
    <x v="0"/>
    <s v="southeast"/>
    <n v="18767.737700000001"/>
  </r>
  <r>
    <n v="61"/>
    <s v="female"/>
    <n v="33.33"/>
    <n v="4"/>
    <x v="1"/>
    <s v="southeast"/>
    <n v="36580.282160000002"/>
  </r>
  <r>
    <n v="48"/>
    <s v="male"/>
    <n v="32.299999999999997"/>
    <n v="1"/>
    <x v="1"/>
    <s v="northwest"/>
    <n v="8765.2489999999998"/>
  </r>
  <r>
    <n v="38"/>
    <s v="female"/>
    <n v="27.6"/>
    <n v="0"/>
    <x v="1"/>
    <s v="southwest"/>
    <n v="5383.5360000000001"/>
  </r>
  <r>
    <n v="59"/>
    <s v="male"/>
    <n v="25.46"/>
    <n v="0"/>
    <x v="1"/>
    <s v="northwest"/>
    <n v="12124.992399999999"/>
  </r>
  <r>
    <n v="19"/>
    <s v="female"/>
    <n v="24.605"/>
    <n v="1"/>
    <x v="1"/>
    <s v="northwest"/>
    <n v="2709.24395"/>
  </r>
  <r>
    <n v="26"/>
    <s v="female"/>
    <n v="34.200000000000003"/>
    <n v="2"/>
    <x v="1"/>
    <s v="southwest"/>
    <n v="3987.9259999999999"/>
  </r>
  <r>
    <n v="54"/>
    <s v="female"/>
    <n v="35.814999999999998"/>
    <n v="3"/>
    <x v="1"/>
    <s v="northwest"/>
    <n v="12495.290849999999"/>
  </r>
  <r>
    <n v="21"/>
    <s v="female"/>
    <n v="32.68"/>
    <n v="2"/>
    <x v="1"/>
    <s v="northwest"/>
    <n v="26018.950519999999"/>
  </r>
  <r>
    <n v="51"/>
    <s v="male"/>
    <n v="37"/>
    <n v="0"/>
    <x v="1"/>
    <s v="southwest"/>
    <n v="8798.5930000000008"/>
  </r>
  <r>
    <n v="22"/>
    <s v="female"/>
    <n v="31.02"/>
    <n v="3"/>
    <x v="0"/>
    <s v="southeast"/>
    <n v="35595.589800000002"/>
  </r>
  <r>
    <n v="47"/>
    <s v="male"/>
    <n v="36.08"/>
    <n v="1"/>
    <x v="0"/>
    <s v="southeast"/>
    <n v="42211.138200000001"/>
  </r>
  <r>
    <n v="18"/>
    <s v="male"/>
    <n v="23.32"/>
    <n v="1"/>
    <x v="1"/>
    <s v="southeast"/>
    <n v="1711.0268000000001"/>
  </r>
  <r>
    <n v="47"/>
    <s v="female"/>
    <n v="45.32"/>
    <n v="1"/>
    <x v="1"/>
    <s v="southeast"/>
    <n v="8569.8618000000006"/>
  </r>
  <r>
    <n v="21"/>
    <s v="female"/>
    <n v="34.6"/>
    <n v="0"/>
    <x v="1"/>
    <s v="southwest"/>
    <n v="2020.1769999999999"/>
  </r>
  <r>
    <n v="19"/>
    <s v="male"/>
    <n v="26.03"/>
    <n v="1"/>
    <x v="0"/>
    <s v="northwest"/>
    <n v="16450.894700000001"/>
  </r>
  <r>
    <n v="23"/>
    <s v="male"/>
    <n v="18.715"/>
    <n v="0"/>
    <x v="1"/>
    <s v="northwest"/>
    <n v="21595.382290000001"/>
  </r>
  <r>
    <n v="54"/>
    <s v="male"/>
    <n v="31.6"/>
    <n v="0"/>
    <x v="1"/>
    <s v="southwest"/>
    <n v="9850.4320000000007"/>
  </r>
  <r>
    <n v="37"/>
    <s v="female"/>
    <n v="17.29"/>
    <n v="2"/>
    <x v="1"/>
    <s v="northeast"/>
    <n v="6877.9800999999998"/>
  </r>
  <r>
    <n v="46"/>
    <s v="female"/>
    <n v="23.655000000000001"/>
    <n v="1"/>
    <x v="0"/>
    <s v="northwest"/>
    <n v="21677.283449999999"/>
  </r>
  <r>
    <n v="55"/>
    <s v="female"/>
    <n v="35.200000000000003"/>
    <n v="0"/>
    <x v="0"/>
    <s v="southeast"/>
    <n v="44423.803"/>
  </r>
  <r>
    <n v="30"/>
    <s v="female"/>
    <n v="27.93"/>
    <n v="0"/>
    <x v="1"/>
    <s v="northeast"/>
    <n v="4137.5227000000004"/>
  </r>
  <r>
    <n v="18"/>
    <s v="male"/>
    <n v="21.565000000000001"/>
    <n v="0"/>
    <x v="0"/>
    <s v="northeast"/>
    <n v="13747.87235"/>
  </r>
  <r>
    <n v="61"/>
    <s v="male"/>
    <n v="38.380000000000003"/>
    <n v="0"/>
    <x v="1"/>
    <s v="northwest"/>
    <n v="12950.0712"/>
  </r>
  <r>
    <n v="54"/>
    <s v="female"/>
    <n v="23"/>
    <n v="3"/>
    <x v="1"/>
    <s v="southwest"/>
    <n v="12094.477999999999"/>
  </r>
  <r>
    <n v="22"/>
    <s v="male"/>
    <n v="37.07"/>
    <n v="2"/>
    <x v="0"/>
    <s v="southeast"/>
    <n v="37484.4493"/>
  </r>
  <r>
    <n v="45"/>
    <s v="female"/>
    <n v="30.495000000000001"/>
    <n v="1"/>
    <x v="0"/>
    <s v="northwest"/>
    <n v="39725.518049999999"/>
  </r>
  <r>
    <n v="22"/>
    <s v="male"/>
    <n v="28.88"/>
    <n v="0"/>
    <x v="1"/>
    <s v="northeast"/>
    <n v="2250.8352"/>
  </r>
  <r>
    <n v="19"/>
    <s v="male"/>
    <n v="27.265000000000001"/>
    <n v="2"/>
    <x v="1"/>
    <s v="northwest"/>
    <n v="22493.659640000002"/>
  </r>
  <r>
    <n v="35"/>
    <s v="female"/>
    <n v="28.024999999999999"/>
    <n v="0"/>
    <x v="0"/>
    <s v="northwest"/>
    <n v="20234.854749999999"/>
  </r>
  <r>
    <n v="18"/>
    <s v="male"/>
    <n v="23.085000000000001"/>
    <n v="0"/>
    <x v="1"/>
    <s v="northeast"/>
    <n v="1704.7001499999999"/>
  </r>
  <r>
    <n v="20"/>
    <s v="male"/>
    <n v="30.684999999999999"/>
    <n v="0"/>
    <x v="0"/>
    <s v="northeast"/>
    <n v="33475.817150000003"/>
  </r>
  <r>
    <n v="28"/>
    <s v="female"/>
    <n v="25.8"/>
    <n v="0"/>
    <x v="1"/>
    <s v="southwest"/>
    <n v="3161.4540000000002"/>
  </r>
  <r>
    <n v="55"/>
    <s v="male"/>
    <n v="35.244999999999997"/>
    <n v="1"/>
    <x v="1"/>
    <s v="northeast"/>
    <n v="11394.065549999999"/>
  </r>
  <r>
    <n v="43"/>
    <s v="female"/>
    <n v="24.7"/>
    <n v="2"/>
    <x v="0"/>
    <s v="northwest"/>
    <n v="21880.82"/>
  </r>
  <r>
    <n v="43"/>
    <s v="female"/>
    <n v="25.08"/>
    <n v="0"/>
    <x v="1"/>
    <s v="northeast"/>
    <n v="7325.0482000000002"/>
  </r>
  <r>
    <n v="22"/>
    <s v="male"/>
    <n v="52.58"/>
    <n v="1"/>
    <x v="0"/>
    <s v="southeast"/>
    <n v="44501.398200000003"/>
  </r>
  <r>
    <n v="25"/>
    <s v="female"/>
    <n v="22.515000000000001"/>
    <n v="1"/>
    <x v="1"/>
    <s v="northwest"/>
    <n v="3594.17085"/>
  </r>
  <r>
    <n v="49"/>
    <s v="male"/>
    <n v="30.9"/>
    <n v="0"/>
    <x v="0"/>
    <s v="southwest"/>
    <n v="39727.614000000001"/>
  </r>
  <r>
    <n v="44"/>
    <s v="female"/>
    <n v="36.954999999999998"/>
    <n v="1"/>
    <x v="1"/>
    <s v="northwest"/>
    <n v="8023.1354499999998"/>
  </r>
  <r>
    <n v="64"/>
    <s v="male"/>
    <n v="26.41"/>
    <n v="0"/>
    <x v="1"/>
    <s v="northeast"/>
    <n v="14394.5579"/>
  </r>
  <r>
    <n v="49"/>
    <s v="male"/>
    <n v="29.83"/>
    <n v="1"/>
    <x v="1"/>
    <s v="northeast"/>
    <n v="9288.0267000000003"/>
  </r>
  <r>
    <n v="47"/>
    <s v="male"/>
    <n v="29.8"/>
    <n v="3"/>
    <x v="0"/>
    <s v="southwest"/>
    <n v="25309.489000000001"/>
  </r>
  <r>
    <n v="27"/>
    <s v="female"/>
    <n v="21.47"/>
    <n v="0"/>
    <x v="1"/>
    <s v="northwest"/>
    <n v="3353.4703"/>
  </r>
  <r>
    <n v="55"/>
    <s v="male"/>
    <n v="27.645"/>
    <n v="0"/>
    <x v="1"/>
    <s v="northwest"/>
    <n v="10594.501550000001"/>
  </r>
  <r>
    <n v="48"/>
    <s v="female"/>
    <n v="28.9"/>
    <n v="0"/>
    <x v="1"/>
    <s v="southwest"/>
    <n v="8277.5229999999992"/>
  </r>
  <r>
    <n v="45"/>
    <s v="female"/>
    <n v="31.79"/>
    <n v="0"/>
    <x v="1"/>
    <s v="southeast"/>
    <n v="17929.303370000001"/>
  </r>
  <r>
    <n v="24"/>
    <s v="female"/>
    <n v="39.49"/>
    <n v="0"/>
    <x v="1"/>
    <s v="southeast"/>
    <n v="2480.9791"/>
  </r>
  <r>
    <n v="32"/>
    <s v="male"/>
    <n v="33.82"/>
    <n v="1"/>
    <x v="1"/>
    <s v="northwest"/>
    <n v="4462.7218000000003"/>
  </r>
  <r>
    <n v="24"/>
    <s v="male"/>
    <n v="32.01"/>
    <n v="0"/>
    <x v="1"/>
    <s v="southeast"/>
    <n v="1981.5818999999999"/>
  </r>
  <r>
    <n v="57"/>
    <s v="male"/>
    <n v="27.94"/>
    <n v="1"/>
    <x v="1"/>
    <s v="southeast"/>
    <n v="11554.223599999999"/>
  </r>
  <r>
    <n v="59"/>
    <s v="male"/>
    <n v="41.14"/>
    <n v="1"/>
    <x v="0"/>
    <s v="southeast"/>
    <n v="48970.247600000002"/>
  </r>
  <r>
    <n v="36"/>
    <s v="male"/>
    <n v="28.594999999999999"/>
    <n v="3"/>
    <x v="1"/>
    <s v="northwest"/>
    <n v="6548.1950500000003"/>
  </r>
  <r>
    <n v="29"/>
    <s v="female"/>
    <n v="25.6"/>
    <n v="4"/>
    <x v="1"/>
    <s v="southwest"/>
    <n v="5708.8670000000002"/>
  </r>
  <r>
    <n v="42"/>
    <s v="female"/>
    <n v="25.3"/>
    <n v="1"/>
    <x v="1"/>
    <s v="southwest"/>
    <n v="7045.4989999999998"/>
  </r>
  <r>
    <n v="48"/>
    <s v="male"/>
    <n v="37.29"/>
    <n v="2"/>
    <x v="1"/>
    <s v="southeast"/>
    <n v="8978.1851000000006"/>
  </r>
  <r>
    <n v="39"/>
    <s v="male"/>
    <n v="42.655000000000001"/>
    <n v="0"/>
    <x v="1"/>
    <s v="northeast"/>
    <n v="5757.41345"/>
  </r>
  <r>
    <n v="63"/>
    <s v="male"/>
    <n v="21.66"/>
    <n v="1"/>
    <x v="1"/>
    <s v="northwest"/>
    <n v="14349.8544"/>
  </r>
  <r>
    <n v="54"/>
    <s v="female"/>
    <n v="31.9"/>
    <n v="1"/>
    <x v="1"/>
    <s v="southeast"/>
    <n v="10928.849"/>
  </r>
  <r>
    <n v="37"/>
    <s v="male"/>
    <n v="37.07"/>
    <n v="1"/>
    <x v="0"/>
    <s v="southeast"/>
    <n v="39871.704299999998"/>
  </r>
  <r>
    <n v="63"/>
    <s v="male"/>
    <n v="31.445"/>
    <n v="0"/>
    <x v="1"/>
    <s v="northeast"/>
    <n v="13974.455550000001"/>
  </r>
  <r>
    <n v="21"/>
    <s v="male"/>
    <n v="31.254999999999999"/>
    <n v="0"/>
    <x v="1"/>
    <s v="northwest"/>
    <n v="1909.52745"/>
  </r>
  <r>
    <n v="54"/>
    <s v="female"/>
    <n v="28.88"/>
    <n v="2"/>
    <x v="1"/>
    <s v="northeast"/>
    <n v="12096.6512"/>
  </r>
  <r>
    <n v="60"/>
    <s v="female"/>
    <n v="18.335000000000001"/>
    <n v="0"/>
    <x v="1"/>
    <s v="northeast"/>
    <n v="13204.28565"/>
  </r>
  <r>
    <n v="32"/>
    <s v="female"/>
    <n v="29.59"/>
    <n v="1"/>
    <x v="1"/>
    <s v="southeast"/>
    <n v="4562.8420999999998"/>
  </r>
  <r>
    <n v="47"/>
    <s v="female"/>
    <n v="32"/>
    <n v="1"/>
    <x v="1"/>
    <s v="southwest"/>
    <n v="8551.3469999999998"/>
  </r>
  <r>
    <n v="21"/>
    <s v="male"/>
    <n v="26.03"/>
    <n v="0"/>
    <x v="1"/>
    <s v="northeast"/>
    <n v="2102.2647000000002"/>
  </r>
  <r>
    <n v="28"/>
    <s v="male"/>
    <n v="31.68"/>
    <n v="0"/>
    <x v="0"/>
    <s v="southeast"/>
    <n v="34672.147199999999"/>
  </r>
  <r>
    <n v="63"/>
    <s v="male"/>
    <n v="33.659999999999997"/>
    <n v="3"/>
    <x v="1"/>
    <s v="southeast"/>
    <n v="15161.5344"/>
  </r>
  <r>
    <n v="18"/>
    <s v="male"/>
    <n v="21.78"/>
    <n v="2"/>
    <x v="1"/>
    <s v="southeast"/>
    <n v="11884.048580000001"/>
  </r>
  <r>
    <n v="32"/>
    <s v="male"/>
    <n v="27.835000000000001"/>
    <n v="1"/>
    <x v="1"/>
    <s v="northwest"/>
    <n v="4454.40265"/>
  </r>
  <r>
    <n v="38"/>
    <s v="male"/>
    <n v="19.95"/>
    <n v="1"/>
    <x v="1"/>
    <s v="northwest"/>
    <n v="5855.9025000000001"/>
  </r>
  <r>
    <n v="32"/>
    <s v="male"/>
    <n v="31.5"/>
    <n v="1"/>
    <x v="1"/>
    <s v="southwest"/>
    <n v="4076.4969999999998"/>
  </r>
  <r>
    <n v="62"/>
    <s v="female"/>
    <n v="30.495000000000001"/>
    <n v="2"/>
    <x v="1"/>
    <s v="northwest"/>
    <n v="15019.760050000001"/>
  </r>
  <r>
    <n v="39"/>
    <s v="female"/>
    <n v="18.3"/>
    <n v="5"/>
    <x v="0"/>
    <s v="southwest"/>
    <n v="19023.259999999998"/>
  </r>
  <r>
    <n v="55"/>
    <s v="male"/>
    <n v="28.975000000000001"/>
    <n v="0"/>
    <x v="1"/>
    <s v="northeast"/>
    <n v="10796.35025"/>
  </r>
  <r>
    <n v="57"/>
    <s v="male"/>
    <n v="31.54"/>
    <n v="0"/>
    <x v="1"/>
    <s v="northwest"/>
    <n v="11353.2276"/>
  </r>
  <r>
    <n v="52"/>
    <s v="male"/>
    <n v="47.74"/>
    <n v="1"/>
    <x v="1"/>
    <s v="southeast"/>
    <n v="9748.9105999999992"/>
  </r>
  <r>
    <n v="56"/>
    <s v="male"/>
    <n v="22.1"/>
    <n v="0"/>
    <x v="1"/>
    <s v="southwest"/>
    <n v="10577.087"/>
  </r>
  <r>
    <n v="47"/>
    <s v="male"/>
    <n v="36.19"/>
    <n v="0"/>
    <x v="0"/>
    <s v="southeast"/>
    <n v="41676.081100000003"/>
  </r>
  <r>
    <n v="55"/>
    <s v="female"/>
    <n v="29.83"/>
    <n v="0"/>
    <x v="1"/>
    <s v="northeast"/>
    <n v="11286.538699999999"/>
  </r>
  <r>
    <n v="23"/>
    <s v="male"/>
    <n v="32.700000000000003"/>
    <n v="3"/>
    <x v="1"/>
    <s v="southwest"/>
    <n v="3591.48"/>
  </r>
  <r>
    <n v="22"/>
    <s v="female"/>
    <n v="30.4"/>
    <n v="0"/>
    <x v="0"/>
    <s v="northwest"/>
    <n v="33907.548000000003"/>
  </r>
  <r>
    <n v="50"/>
    <s v="female"/>
    <n v="33.700000000000003"/>
    <n v="4"/>
    <x v="1"/>
    <s v="southwest"/>
    <n v="11299.343000000001"/>
  </r>
  <r>
    <n v="18"/>
    <s v="female"/>
    <n v="31.35"/>
    <n v="4"/>
    <x v="1"/>
    <s v="northeast"/>
    <n v="4561.1885000000002"/>
  </r>
  <r>
    <n v="51"/>
    <s v="female"/>
    <n v="34.96"/>
    <n v="2"/>
    <x v="0"/>
    <s v="northeast"/>
    <n v="44641.197399999997"/>
  </r>
  <r>
    <n v="22"/>
    <s v="male"/>
    <n v="33.770000000000003"/>
    <n v="0"/>
    <x v="1"/>
    <s v="southeast"/>
    <n v="1674.6323"/>
  </r>
  <r>
    <n v="52"/>
    <s v="female"/>
    <n v="30.875"/>
    <n v="0"/>
    <x v="1"/>
    <s v="northeast"/>
    <n v="23045.566159999998"/>
  </r>
  <r>
    <n v="25"/>
    <s v="female"/>
    <n v="33.99"/>
    <n v="1"/>
    <x v="1"/>
    <s v="southeast"/>
    <n v="3227.1210999999998"/>
  </r>
  <r>
    <n v="33"/>
    <s v="female"/>
    <n v="19.094999999999999"/>
    <n v="2"/>
    <x v="0"/>
    <s v="northeast"/>
    <n v="16776.304049999999"/>
  </r>
  <r>
    <n v="53"/>
    <s v="male"/>
    <n v="28.6"/>
    <n v="3"/>
    <x v="1"/>
    <s v="southwest"/>
    <n v="11253.421"/>
  </r>
  <r>
    <n v="29"/>
    <s v="male"/>
    <n v="38.94"/>
    <n v="1"/>
    <x v="1"/>
    <s v="southeast"/>
    <n v="3471.4096"/>
  </r>
  <r>
    <n v="58"/>
    <s v="male"/>
    <n v="36.08"/>
    <n v="0"/>
    <x v="1"/>
    <s v="southeast"/>
    <n v="11363.2832"/>
  </r>
  <r>
    <n v="37"/>
    <s v="male"/>
    <n v="29.8"/>
    <n v="0"/>
    <x v="1"/>
    <s v="southwest"/>
    <n v="20420.604650000001"/>
  </r>
  <r>
    <n v="54"/>
    <s v="female"/>
    <n v="31.24"/>
    <n v="0"/>
    <x v="1"/>
    <s v="southeast"/>
    <n v="10338.9316"/>
  </r>
  <r>
    <n v="49"/>
    <s v="female"/>
    <n v="29.925000000000001"/>
    <n v="0"/>
    <x v="1"/>
    <s v="northwest"/>
    <n v="8988.1587500000005"/>
  </r>
  <r>
    <n v="50"/>
    <s v="female"/>
    <n v="26.22"/>
    <n v="2"/>
    <x v="1"/>
    <s v="northwest"/>
    <n v="10493.9458"/>
  </r>
  <r>
    <n v="26"/>
    <s v="male"/>
    <n v="30"/>
    <n v="1"/>
    <x v="1"/>
    <s v="southwest"/>
    <n v="2904.0880000000002"/>
  </r>
  <r>
    <n v="45"/>
    <s v="male"/>
    <n v="20.350000000000001"/>
    <n v="3"/>
    <x v="1"/>
    <s v="southeast"/>
    <n v="8605.3615000000009"/>
  </r>
  <r>
    <n v="54"/>
    <s v="female"/>
    <n v="32.299999999999997"/>
    <n v="1"/>
    <x v="1"/>
    <s v="northeast"/>
    <n v="11512.405000000001"/>
  </r>
  <r>
    <n v="38"/>
    <s v="male"/>
    <n v="38.39"/>
    <n v="3"/>
    <x v="0"/>
    <s v="southeast"/>
    <n v="41949.244100000004"/>
  </r>
  <r>
    <n v="48"/>
    <s v="female"/>
    <n v="25.85"/>
    <n v="3"/>
    <x v="0"/>
    <s v="southeast"/>
    <n v="24180.933499999999"/>
  </r>
  <r>
    <n v="28"/>
    <s v="female"/>
    <n v="26.315000000000001"/>
    <n v="3"/>
    <x v="1"/>
    <s v="northwest"/>
    <n v="5312.1698500000002"/>
  </r>
  <r>
    <n v="23"/>
    <s v="male"/>
    <n v="24.51"/>
    <n v="0"/>
    <x v="1"/>
    <s v="northeast"/>
    <n v="2396.0958999999998"/>
  </r>
  <r>
    <n v="55"/>
    <s v="male"/>
    <n v="32.67"/>
    <n v="1"/>
    <x v="1"/>
    <s v="southeast"/>
    <n v="10807.4863"/>
  </r>
  <r>
    <n v="41"/>
    <s v="male"/>
    <n v="29.64"/>
    <n v="5"/>
    <x v="1"/>
    <s v="northeast"/>
    <n v="9222.4025999999994"/>
  </r>
  <r>
    <n v="25"/>
    <s v="male"/>
    <n v="33.33"/>
    <n v="2"/>
    <x v="0"/>
    <s v="southeast"/>
    <n v="36124.573700000001"/>
  </r>
  <r>
    <n v="33"/>
    <s v="male"/>
    <n v="35.75"/>
    <n v="1"/>
    <x v="0"/>
    <s v="southeast"/>
    <n v="38282.749499999998"/>
  </r>
  <r>
    <n v="30"/>
    <s v="female"/>
    <n v="19.95"/>
    <n v="3"/>
    <x v="1"/>
    <s v="northwest"/>
    <n v="5693.4305000000004"/>
  </r>
  <r>
    <n v="23"/>
    <s v="female"/>
    <n v="31.4"/>
    <n v="0"/>
    <x v="0"/>
    <s v="southwest"/>
    <n v="34166.273000000001"/>
  </r>
  <r>
    <n v="46"/>
    <s v="male"/>
    <n v="38.17"/>
    <n v="2"/>
    <x v="1"/>
    <s v="southeast"/>
    <n v="8347.1643000000004"/>
  </r>
  <r>
    <n v="53"/>
    <s v="female"/>
    <n v="36.86"/>
    <n v="3"/>
    <x v="0"/>
    <s v="northwest"/>
    <n v="46661.4424"/>
  </r>
  <r>
    <n v="27"/>
    <s v="female"/>
    <n v="32.395000000000003"/>
    <n v="1"/>
    <x v="1"/>
    <s v="northeast"/>
    <n v="18903.491409999999"/>
  </r>
  <r>
    <n v="23"/>
    <s v="female"/>
    <n v="42.75"/>
    <n v="1"/>
    <x v="0"/>
    <s v="northeast"/>
    <n v="40904.199500000002"/>
  </r>
  <r>
    <n v="63"/>
    <s v="female"/>
    <n v="25.08"/>
    <n v="0"/>
    <x v="1"/>
    <s v="northwest"/>
    <n v="14254.608200000001"/>
  </r>
  <r>
    <n v="55"/>
    <s v="male"/>
    <n v="29.9"/>
    <n v="0"/>
    <x v="1"/>
    <s v="southwest"/>
    <n v="10214.636"/>
  </r>
  <r>
    <n v="35"/>
    <s v="female"/>
    <n v="35.86"/>
    <n v="2"/>
    <x v="1"/>
    <s v="southeast"/>
    <n v="5836.5204000000003"/>
  </r>
  <r>
    <n v="34"/>
    <s v="male"/>
    <n v="32.799999999999997"/>
    <n v="1"/>
    <x v="1"/>
    <s v="southwest"/>
    <n v="14358.364369999999"/>
  </r>
  <r>
    <n v="19"/>
    <s v="female"/>
    <n v="18.600000000000001"/>
    <n v="0"/>
    <x v="1"/>
    <s v="southwest"/>
    <n v="1728.8969999999999"/>
  </r>
  <r>
    <n v="39"/>
    <s v="female"/>
    <n v="23.87"/>
    <n v="5"/>
    <x v="1"/>
    <s v="southeast"/>
    <n v="8582.3022999999994"/>
  </r>
  <r>
    <n v="27"/>
    <s v="male"/>
    <n v="45.9"/>
    <n v="2"/>
    <x v="1"/>
    <s v="southwest"/>
    <n v="3693.4279999999999"/>
  </r>
  <r>
    <n v="57"/>
    <s v="male"/>
    <n v="40.28"/>
    <n v="0"/>
    <x v="1"/>
    <s v="northeast"/>
    <n v="20709.020339999999"/>
  </r>
  <r>
    <n v="52"/>
    <s v="female"/>
    <n v="18.335000000000001"/>
    <n v="0"/>
    <x v="1"/>
    <s v="northwest"/>
    <n v="9991.0376500000002"/>
  </r>
  <r>
    <n v="28"/>
    <s v="male"/>
    <n v="33.82"/>
    <n v="0"/>
    <x v="1"/>
    <s v="northwest"/>
    <n v="19673.335729999999"/>
  </r>
  <r>
    <n v="50"/>
    <s v="female"/>
    <n v="28.12"/>
    <n v="3"/>
    <x v="1"/>
    <s v="northwest"/>
    <n v="11085.586799999999"/>
  </r>
  <r>
    <n v="44"/>
    <s v="female"/>
    <n v="25"/>
    <n v="1"/>
    <x v="1"/>
    <s v="southwest"/>
    <n v="7623.518"/>
  </r>
  <r>
    <n v="26"/>
    <s v="female"/>
    <n v="22.23"/>
    <n v="0"/>
    <x v="1"/>
    <s v="northwest"/>
    <n v="3176.2876999999999"/>
  </r>
  <r>
    <n v="33"/>
    <s v="male"/>
    <n v="30.25"/>
    <n v="0"/>
    <x v="1"/>
    <s v="southeast"/>
    <n v="3704.3544999999999"/>
  </r>
  <r>
    <n v="19"/>
    <s v="female"/>
    <n v="32.49"/>
    <n v="0"/>
    <x v="0"/>
    <s v="northwest"/>
    <n v="36898.733079999998"/>
  </r>
  <r>
    <n v="50"/>
    <s v="male"/>
    <n v="37.07"/>
    <n v="1"/>
    <x v="1"/>
    <s v="southeast"/>
    <n v="9048.0272999999997"/>
  </r>
  <r>
    <n v="41"/>
    <s v="female"/>
    <n v="32.6"/>
    <n v="3"/>
    <x v="1"/>
    <s v="southwest"/>
    <n v="7954.5169999999998"/>
  </r>
  <r>
    <n v="52"/>
    <s v="female"/>
    <n v="24.86"/>
    <n v="0"/>
    <x v="1"/>
    <s v="southeast"/>
    <n v="27117.993780000001"/>
  </r>
  <r>
    <n v="39"/>
    <s v="male"/>
    <n v="32.340000000000003"/>
    <n v="2"/>
    <x v="1"/>
    <s v="southeast"/>
    <n v="6338.0756000000001"/>
  </r>
  <r>
    <n v="50"/>
    <s v="male"/>
    <n v="32.299999999999997"/>
    <n v="2"/>
    <x v="1"/>
    <s v="southwest"/>
    <n v="9630.3970000000008"/>
  </r>
  <r>
    <n v="52"/>
    <s v="male"/>
    <n v="32.774999999999999"/>
    <n v="3"/>
    <x v="1"/>
    <s v="northwest"/>
    <n v="11289.10925"/>
  </r>
  <r>
    <n v="60"/>
    <s v="male"/>
    <n v="32.799999999999997"/>
    <n v="0"/>
    <x v="0"/>
    <s v="southwest"/>
    <n v="52590.829389999999"/>
  </r>
  <r>
    <n v="20"/>
    <s v="female"/>
    <n v="31.92"/>
    <n v="0"/>
    <x v="1"/>
    <s v="northwest"/>
    <n v="2261.5688"/>
  </r>
  <r>
    <n v="55"/>
    <s v="male"/>
    <n v="21.5"/>
    <n v="1"/>
    <x v="1"/>
    <s v="southwest"/>
    <n v="10791.96"/>
  </r>
  <r>
    <n v="42"/>
    <s v="male"/>
    <n v="34.1"/>
    <n v="0"/>
    <x v="1"/>
    <s v="southwest"/>
    <n v="5979.7309999999998"/>
  </r>
  <r>
    <n v="18"/>
    <s v="female"/>
    <n v="30.305"/>
    <n v="0"/>
    <x v="1"/>
    <s v="northeast"/>
    <n v="2203.7359499999998"/>
  </r>
  <r>
    <n v="58"/>
    <s v="female"/>
    <n v="36.479999999999997"/>
    <n v="0"/>
    <x v="1"/>
    <s v="northwest"/>
    <n v="12235.8392"/>
  </r>
  <r>
    <n v="43"/>
    <s v="female"/>
    <n v="32.56"/>
    <n v="3"/>
    <x v="0"/>
    <s v="southeast"/>
    <n v="40941.285400000001"/>
  </r>
  <r>
    <n v="35"/>
    <s v="female"/>
    <n v="35.814999999999998"/>
    <n v="1"/>
    <x v="1"/>
    <s v="northwest"/>
    <n v="5630.4578499999998"/>
  </r>
  <r>
    <n v="48"/>
    <s v="female"/>
    <n v="27.93"/>
    <n v="4"/>
    <x v="1"/>
    <s v="northwest"/>
    <n v="11015.1747"/>
  </r>
  <r>
    <n v="36"/>
    <s v="female"/>
    <n v="22.135000000000002"/>
    <n v="3"/>
    <x v="1"/>
    <s v="northeast"/>
    <n v="7228.2156500000001"/>
  </r>
  <r>
    <n v="19"/>
    <s v="male"/>
    <n v="44.88"/>
    <n v="0"/>
    <x v="0"/>
    <s v="southeast"/>
    <n v="39722.746200000001"/>
  </r>
  <r>
    <n v="23"/>
    <s v="female"/>
    <n v="23.18"/>
    <n v="2"/>
    <x v="1"/>
    <s v="northwest"/>
    <n v="14426.073850000001"/>
  </r>
  <r>
    <n v="20"/>
    <s v="female"/>
    <n v="30.59"/>
    <n v="0"/>
    <x v="1"/>
    <s v="northeast"/>
    <n v="2459.7201"/>
  </r>
  <r>
    <n v="32"/>
    <s v="female"/>
    <n v="41.1"/>
    <n v="0"/>
    <x v="1"/>
    <s v="southwest"/>
    <n v="3989.8409999999999"/>
  </r>
  <r>
    <n v="43"/>
    <s v="female"/>
    <n v="34.58"/>
    <n v="1"/>
    <x v="1"/>
    <s v="northwest"/>
    <n v="7727.2532000000001"/>
  </r>
  <r>
    <n v="34"/>
    <s v="male"/>
    <n v="42.13"/>
    <n v="2"/>
    <x v="1"/>
    <s v="southeast"/>
    <n v="5124.1886999999997"/>
  </r>
  <r>
    <n v="30"/>
    <s v="male"/>
    <n v="38.83"/>
    <n v="1"/>
    <x v="1"/>
    <s v="southeast"/>
    <n v="18963.171920000001"/>
  </r>
  <r>
    <n v="18"/>
    <s v="female"/>
    <n v="28.215"/>
    <n v="0"/>
    <x v="1"/>
    <s v="northeast"/>
    <n v="2200.8308499999998"/>
  </r>
  <r>
    <n v="41"/>
    <s v="female"/>
    <n v="28.31"/>
    <n v="1"/>
    <x v="1"/>
    <s v="northwest"/>
    <n v="7153.5538999999999"/>
  </r>
  <r>
    <n v="35"/>
    <s v="female"/>
    <n v="26.125"/>
    <n v="0"/>
    <x v="1"/>
    <s v="northeast"/>
    <n v="5227.9887500000004"/>
  </r>
  <r>
    <n v="57"/>
    <s v="male"/>
    <n v="40.369999999999997"/>
    <n v="0"/>
    <x v="1"/>
    <s v="southeast"/>
    <n v="10982.5013"/>
  </r>
  <r>
    <n v="29"/>
    <s v="female"/>
    <n v="24.6"/>
    <n v="2"/>
    <x v="1"/>
    <s v="southwest"/>
    <n v="4529.4769999999999"/>
  </r>
  <r>
    <n v="32"/>
    <s v="male"/>
    <n v="35.200000000000003"/>
    <n v="2"/>
    <x v="1"/>
    <s v="southwest"/>
    <n v="4670.6400000000003"/>
  </r>
  <r>
    <n v="37"/>
    <s v="female"/>
    <n v="34.104999999999997"/>
    <n v="1"/>
    <x v="1"/>
    <s v="northwest"/>
    <n v="6112.3529500000004"/>
  </r>
  <r>
    <n v="18"/>
    <s v="male"/>
    <n v="27.36"/>
    <n v="1"/>
    <x v="0"/>
    <s v="northeast"/>
    <n v="17178.682400000002"/>
  </r>
  <r>
    <n v="43"/>
    <s v="female"/>
    <n v="26.7"/>
    <n v="2"/>
    <x v="0"/>
    <s v="southwest"/>
    <n v="22478.6"/>
  </r>
  <r>
    <n v="56"/>
    <s v="female"/>
    <n v="41.91"/>
    <n v="0"/>
    <x v="1"/>
    <s v="southeast"/>
    <n v="11093.6229"/>
  </r>
  <r>
    <n v="38"/>
    <s v="male"/>
    <n v="29.26"/>
    <n v="2"/>
    <x v="1"/>
    <s v="northwest"/>
    <n v="6457.8433999999997"/>
  </r>
  <r>
    <n v="29"/>
    <s v="male"/>
    <n v="32.11"/>
    <n v="2"/>
    <x v="1"/>
    <s v="northwest"/>
    <n v="4433.9159"/>
  </r>
  <r>
    <n v="22"/>
    <s v="female"/>
    <n v="27.1"/>
    <n v="0"/>
    <x v="1"/>
    <s v="southwest"/>
    <n v="2154.3609999999999"/>
  </r>
  <r>
    <n v="52"/>
    <s v="female"/>
    <n v="24.13"/>
    <n v="1"/>
    <x v="0"/>
    <s v="northwest"/>
    <n v="23887.662700000001"/>
  </r>
  <r>
    <n v="40"/>
    <s v="female"/>
    <n v="27.4"/>
    <n v="1"/>
    <x v="1"/>
    <s v="southwest"/>
    <n v="6496.8860000000004"/>
  </r>
  <r>
    <n v="23"/>
    <s v="female"/>
    <n v="34.865000000000002"/>
    <n v="0"/>
    <x v="1"/>
    <s v="northeast"/>
    <n v="2899.4893499999998"/>
  </r>
  <r>
    <n v="31"/>
    <s v="male"/>
    <n v="29.81"/>
    <n v="0"/>
    <x v="0"/>
    <s v="southeast"/>
    <n v="19350.368900000001"/>
  </r>
  <r>
    <n v="42"/>
    <s v="female"/>
    <n v="41.325000000000003"/>
    <n v="1"/>
    <x v="1"/>
    <s v="northeast"/>
    <n v="7650.7737500000003"/>
  </r>
  <r>
    <n v="24"/>
    <s v="female"/>
    <n v="29.925000000000001"/>
    <n v="0"/>
    <x v="1"/>
    <s v="northwest"/>
    <n v="2850.6837500000001"/>
  </r>
  <r>
    <n v="25"/>
    <s v="female"/>
    <n v="30.3"/>
    <n v="0"/>
    <x v="1"/>
    <s v="southwest"/>
    <n v="2632.9920000000002"/>
  </r>
  <r>
    <n v="48"/>
    <s v="female"/>
    <n v="27.36"/>
    <n v="1"/>
    <x v="1"/>
    <s v="northeast"/>
    <n v="9447.3824000000004"/>
  </r>
  <r>
    <n v="23"/>
    <s v="female"/>
    <n v="28.49"/>
    <n v="1"/>
    <x v="0"/>
    <s v="southeast"/>
    <n v="18328.238099999999"/>
  </r>
  <r>
    <n v="45"/>
    <s v="male"/>
    <n v="23.56"/>
    <n v="2"/>
    <x v="1"/>
    <s v="northeast"/>
    <n v="8603.8233999999993"/>
  </r>
  <r>
    <n v="20"/>
    <s v="male"/>
    <n v="35.625"/>
    <n v="3"/>
    <x v="0"/>
    <s v="northwest"/>
    <n v="37465.34375"/>
  </r>
  <r>
    <n v="62"/>
    <s v="female"/>
    <n v="32.68"/>
    <n v="0"/>
    <x v="1"/>
    <s v="northwest"/>
    <n v="13844.797200000001"/>
  </r>
  <r>
    <n v="43"/>
    <s v="female"/>
    <n v="25.27"/>
    <n v="1"/>
    <x v="0"/>
    <s v="northeast"/>
    <n v="21771.3423"/>
  </r>
  <r>
    <n v="23"/>
    <s v="female"/>
    <n v="28"/>
    <n v="0"/>
    <x v="1"/>
    <s v="southwest"/>
    <n v="13126.677449999999"/>
  </r>
  <r>
    <n v="31"/>
    <s v="female"/>
    <n v="32.774999999999999"/>
    <n v="2"/>
    <x v="1"/>
    <s v="northwest"/>
    <n v="5327.4002499999997"/>
  </r>
  <r>
    <n v="41"/>
    <s v="female"/>
    <n v="21.754999999999999"/>
    <n v="1"/>
    <x v="1"/>
    <s v="northeast"/>
    <n v="13725.47184"/>
  </r>
  <r>
    <n v="58"/>
    <s v="female"/>
    <n v="32.395000000000003"/>
    <n v="1"/>
    <x v="1"/>
    <s v="northeast"/>
    <n v="13019.161050000001"/>
  </r>
  <r>
    <n v="48"/>
    <s v="female"/>
    <n v="36.575000000000003"/>
    <n v="0"/>
    <x v="1"/>
    <s v="northwest"/>
    <n v="8671.1912499999999"/>
  </r>
  <r>
    <n v="31"/>
    <s v="female"/>
    <n v="21.754999999999999"/>
    <n v="0"/>
    <x v="1"/>
    <s v="northwest"/>
    <n v="4134.0824499999999"/>
  </r>
  <r>
    <n v="19"/>
    <s v="female"/>
    <n v="27.93"/>
    <n v="3"/>
    <x v="1"/>
    <s v="northwest"/>
    <n v="18838.703659999999"/>
  </r>
  <r>
    <n v="19"/>
    <s v="female"/>
    <n v="30.02"/>
    <n v="0"/>
    <x v="0"/>
    <s v="northwest"/>
    <n v="33307.550799999997"/>
  </r>
  <r>
    <n v="41"/>
    <s v="male"/>
    <n v="33.549999999999997"/>
    <n v="0"/>
    <x v="1"/>
    <s v="southeast"/>
    <n v="5699.8374999999996"/>
  </r>
  <r>
    <n v="40"/>
    <s v="male"/>
    <n v="29.355"/>
    <n v="1"/>
    <x v="1"/>
    <s v="northwest"/>
    <n v="6393.6034499999996"/>
  </r>
  <r>
    <n v="31"/>
    <s v="female"/>
    <n v="25.8"/>
    <n v="2"/>
    <x v="1"/>
    <s v="southwest"/>
    <n v="4934.7049999999999"/>
  </r>
  <r>
    <n v="37"/>
    <s v="male"/>
    <n v="24.32"/>
    <n v="2"/>
    <x v="1"/>
    <s v="northwest"/>
    <n v="6198.7518"/>
  </r>
  <r>
    <n v="46"/>
    <s v="male"/>
    <n v="40.375"/>
    <n v="2"/>
    <x v="1"/>
    <s v="northwest"/>
    <n v="8733.2292500000003"/>
  </r>
  <r>
    <n v="22"/>
    <s v="male"/>
    <n v="32.11"/>
    <n v="0"/>
    <x v="1"/>
    <s v="northwest"/>
    <n v="2055.3249000000001"/>
  </r>
  <r>
    <n v="51"/>
    <s v="male"/>
    <n v="32.299999999999997"/>
    <n v="1"/>
    <x v="1"/>
    <s v="northeast"/>
    <n v="9964.06"/>
  </r>
  <r>
    <n v="18"/>
    <s v="female"/>
    <n v="27.28"/>
    <n v="3"/>
    <x v="0"/>
    <s v="southeast"/>
    <n v="18223.4512"/>
  </r>
  <r>
    <n v="35"/>
    <s v="male"/>
    <n v="17.86"/>
    <n v="1"/>
    <x v="1"/>
    <s v="northwest"/>
    <n v="5116.5003999999999"/>
  </r>
  <r>
    <n v="59"/>
    <s v="female"/>
    <n v="34.799999999999997"/>
    <n v="2"/>
    <x v="1"/>
    <s v="southwest"/>
    <n v="36910.608030000003"/>
  </r>
  <r>
    <n v="36"/>
    <s v="male"/>
    <n v="33.4"/>
    <n v="2"/>
    <x v="0"/>
    <s v="southwest"/>
    <n v="38415.474000000002"/>
  </r>
  <r>
    <n v="37"/>
    <s v="female"/>
    <n v="25.555"/>
    <n v="1"/>
    <x v="0"/>
    <s v="northeast"/>
    <n v="20296.863450000001"/>
  </r>
  <r>
    <n v="59"/>
    <s v="male"/>
    <n v="37.1"/>
    <n v="1"/>
    <x v="1"/>
    <s v="southwest"/>
    <n v="12347.172"/>
  </r>
  <r>
    <n v="36"/>
    <s v="male"/>
    <n v="30.875"/>
    <n v="1"/>
    <x v="1"/>
    <s v="northwest"/>
    <n v="5373.3642499999996"/>
  </r>
  <r>
    <n v="39"/>
    <s v="male"/>
    <n v="34.1"/>
    <n v="2"/>
    <x v="1"/>
    <s v="southeast"/>
    <n v="23563.016179999999"/>
  </r>
  <r>
    <n v="18"/>
    <s v="male"/>
    <n v="21.47"/>
    <n v="0"/>
    <x v="1"/>
    <s v="northeast"/>
    <n v="1702.4553000000001"/>
  </r>
  <r>
    <n v="52"/>
    <s v="female"/>
    <n v="33.299999999999997"/>
    <n v="2"/>
    <x v="1"/>
    <s v="southwest"/>
    <n v="10806.839"/>
  </r>
  <r>
    <n v="27"/>
    <s v="female"/>
    <n v="31.254999999999999"/>
    <n v="1"/>
    <x v="1"/>
    <s v="northwest"/>
    <n v="3956.0714499999999"/>
  </r>
  <r>
    <n v="18"/>
    <s v="male"/>
    <n v="39.14"/>
    <n v="0"/>
    <x v="1"/>
    <s v="northeast"/>
    <n v="12890.057650000001"/>
  </r>
  <r>
    <n v="40"/>
    <s v="male"/>
    <n v="25.08"/>
    <n v="0"/>
    <x v="1"/>
    <s v="southeast"/>
    <n v="5415.6611999999996"/>
  </r>
  <r>
    <n v="29"/>
    <s v="male"/>
    <n v="37.29"/>
    <n v="2"/>
    <x v="1"/>
    <s v="southeast"/>
    <n v="4058.1161000000002"/>
  </r>
  <r>
    <n v="46"/>
    <s v="female"/>
    <n v="34.6"/>
    <n v="1"/>
    <x v="0"/>
    <s v="southwest"/>
    <n v="41661.601999999999"/>
  </r>
  <r>
    <n v="38"/>
    <s v="female"/>
    <n v="30.21"/>
    <n v="3"/>
    <x v="1"/>
    <s v="northwest"/>
    <n v="7537.1638999999996"/>
  </r>
  <r>
    <n v="30"/>
    <s v="female"/>
    <n v="21.945"/>
    <n v="1"/>
    <x v="1"/>
    <s v="northeast"/>
    <n v="4718.2035500000002"/>
  </r>
  <r>
    <n v="40"/>
    <s v="male"/>
    <n v="24.97"/>
    <n v="2"/>
    <x v="1"/>
    <s v="southeast"/>
    <n v="6593.5083000000004"/>
  </r>
  <r>
    <n v="50"/>
    <s v="male"/>
    <n v="25.3"/>
    <n v="0"/>
    <x v="1"/>
    <s v="southeast"/>
    <n v="8442.6669999999995"/>
  </r>
  <r>
    <n v="20"/>
    <s v="female"/>
    <n v="24.42"/>
    <n v="0"/>
    <x v="0"/>
    <s v="southeast"/>
    <n v="26125.674770000001"/>
  </r>
  <r>
    <n v="41"/>
    <s v="male"/>
    <n v="23.94"/>
    <n v="1"/>
    <x v="1"/>
    <s v="northeast"/>
    <n v="6858.4795999999997"/>
  </r>
  <r>
    <n v="33"/>
    <s v="female"/>
    <n v="39.82"/>
    <n v="1"/>
    <x v="1"/>
    <s v="southeast"/>
    <n v="4795.6567999999997"/>
  </r>
  <r>
    <n v="38"/>
    <s v="male"/>
    <n v="16.815000000000001"/>
    <n v="2"/>
    <x v="1"/>
    <s v="northeast"/>
    <n v="6640.5448500000002"/>
  </r>
  <r>
    <n v="42"/>
    <s v="male"/>
    <n v="37.18"/>
    <n v="2"/>
    <x v="1"/>
    <s v="southeast"/>
    <n v="7162.0122000000001"/>
  </r>
  <r>
    <n v="56"/>
    <s v="male"/>
    <n v="34.43"/>
    <n v="0"/>
    <x v="1"/>
    <s v="southeast"/>
    <n v="10594.225700000001"/>
  </r>
  <r>
    <n v="58"/>
    <s v="male"/>
    <n v="30.305"/>
    <n v="0"/>
    <x v="1"/>
    <s v="northeast"/>
    <n v="11938.255950000001"/>
  </r>
  <r>
    <n v="52"/>
    <s v="male"/>
    <n v="34.484999999999999"/>
    <n v="3"/>
    <x v="0"/>
    <s v="northwest"/>
    <n v="60021.398970000002"/>
  </r>
  <r>
    <n v="20"/>
    <s v="female"/>
    <n v="21.8"/>
    <n v="0"/>
    <x v="0"/>
    <s v="southwest"/>
    <n v="20167.336029999999"/>
  </r>
  <r>
    <n v="54"/>
    <s v="female"/>
    <n v="24.605"/>
    <n v="3"/>
    <x v="1"/>
    <s v="northwest"/>
    <n v="12479.70895"/>
  </r>
  <r>
    <n v="58"/>
    <s v="male"/>
    <n v="23.3"/>
    <n v="0"/>
    <x v="1"/>
    <s v="southwest"/>
    <n v="11345.519"/>
  </r>
  <r>
    <n v="45"/>
    <s v="female"/>
    <n v="27.83"/>
    <n v="2"/>
    <x v="1"/>
    <s v="southeast"/>
    <n v="8515.7587000000003"/>
  </r>
  <r>
    <n v="26"/>
    <s v="male"/>
    <n v="31.065000000000001"/>
    <n v="0"/>
    <x v="1"/>
    <s v="northwest"/>
    <n v="2699.56835"/>
  </r>
  <r>
    <n v="63"/>
    <s v="female"/>
    <n v="21.66"/>
    <n v="0"/>
    <x v="1"/>
    <s v="northeast"/>
    <n v="14449.8544"/>
  </r>
  <r>
    <n v="58"/>
    <s v="female"/>
    <n v="28.215"/>
    <n v="0"/>
    <x v="1"/>
    <s v="northwest"/>
    <n v="12224.350850000001"/>
  </r>
  <r>
    <n v="37"/>
    <s v="male"/>
    <n v="22.704999999999998"/>
    <n v="3"/>
    <x v="1"/>
    <s v="northeast"/>
    <n v="6985.50695"/>
  </r>
  <r>
    <n v="25"/>
    <s v="female"/>
    <n v="42.13"/>
    <n v="1"/>
    <x v="1"/>
    <s v="southeast"/>
    <n v="3238.4357"/>
  </r>
  <r>
    <n v="52"/>
    <s v="male"/>
    <n v="41.8"/>
    <n v="2"/>
    <x v="0"/>
    <s v="southeast"/>
    <n v="47269.853999999999"/>
  </r>
  <r>
    <n v="64"/>
    <s v="male"/>
    <n v="36.96"/>
    <n v="2"/>
    <x v="0"/>
    <s v="southeast"/>
    <n v="49577.662400000001"/>
  </r>
  <r>
    <n v="22"/>
    <s v="female"/>
    <n v="21.28"/>
    <n v="3"/>
    <x v="1"/>
    <s v="northwest"/>
    <n v="4296.2712000000001"/>
  </r>
  <r>
    <n v="28"/>
    <s v="female"/>
    <n v="33.11"/>
    <n v="0"/>
    <x v="1"/>
    <s v="southeast"/>
    <n v="3171.6149"/>
  </r>
  <r>
    <n v="18"/>
    <s v="male"/>
    <n v="33.33"/>
    <n v="0"/>
    <x v="1"/>
    <s v="southeast"/>
    <n v="1135.9407000000001"/>
  </r>
  <r>
    <n v="28"/>
    <s v="male"/>
    <n v="24.3"/>
    <n v="5"/>
    <x v="1"/>
    <s v="southwest"/>
    <n v="5615.3689999999997"/>
  </r>
  <r>
    <n v="45"/>
    <s v="female"/>
    <n v="25.7"/>
    <n v="3"/>
    <x v="1"/>
    <s v="southwest"/>
    <n v="9101.7980000000007"/>
  </r>
  <r>
    <n v="33"/>
    <s v="male"/>
    <n v="29.4"/>
    <n v="4"/>
    <x v="1"/>
    <s v="southwest"/>
    <n v="6059.1729999999998"/>
  </r>
  <r>
    <n v="18"/>
    <s v="female"/>
    <n v="39.82"/>
    <n v="0"/>
    <x v="1"/>
    <s v="southeast"/>
    <n v="1633.9618"/>
  </r>
  <r>
    <n v="32"/>
    <s v="male"/>
    <n v="33.630000000000003"/>
    <n v="1"/>
    <x v="0"/>
    <s v="northeast"/>
    <n v="37607.527699999999"/>
  </r>
  <r>
    <n v="24"/>
    <s v="male"/>
    <n v="29.83"/>
    <n v="0"/>
    <x v="0"/>
    <s v="northeast"/>
    <n v="18648.421699999999"/>
  </r>
  <r>
    <n v="19"/>
    <s v="male"/>
    <n v="19.8"/>
    <n v="0"/>
    <x v="1"/>
    <s v="southwest"/>
    <n v="1241.5650000000001"/>
  </r>
  <r>
    <n v="20"/>
    <s v="male"/>
    <n v="27.3"/>
    <n v="0"/>
    <x v="0"/>
    <s v="southwest"/>
    <n v="16232.847"/>
  </r>
  <r>
    <n v="40"/>
    <s v="female"/>
    <n v="29.3"/>
    <n v="4"/>
    <x v="1"/>
    <s v="southwest"/>
    <n v="15828.82173"/>
  </r>
  <r>
    <n v="34"/>
    <s v="female"/>
    <n v="27.72"/>
    <n v="0"/>
    <x v="1"/>
    <s v="southeast"/>
    <n v="4415.1588000000002"/>
  </r>
  <r>
    <n v="42"/>
    <s v="female"/>
    <n v="37.9"/>
    <n v="0"/>
    <x v="1"/>
    <s v="southwest"/>
    <n v="6474.0129999999999"/>
  </r>
  <r>
    <n v="51"/>
    <s v="female"/>
    <n v="36.384999999999998"/>
    <n v="3"/>
    <x v="1"/>
    <s v="northwest"/>
    <n v="11436.738149999999"/>
  </r>
  <r>
    <n v="54"/>
    <s v="female"/>
    <n v="27.645"/>
    <n v="1"/>
    <x v="1"/>
    <s v="northwest"/>
    <n v="11305.93455"/>
  </r>
  <r>
    <n v="55"/>
    <s v="male"/>
    <n v="37.715000000000003"/>
    <n v="3"/>
    <x v="1"/>
    <s v="northwest"/>
    <n v="30063.580549999999"/>
  </r>
  <r>
    <n v="52"/>
    <s v="female"/>
    <n v="23.18"/>
    <n v="0"/>
    <x v="1"/>
    <s v="northeast"/>
    <n v="10197.772199999999"/>
  </r>
  <r>
    <n v="32"/>
    <s v="female"/>
    <n v="20.52"/>
    <n v="0"/>
    <x v="1"/>
    <s v="northeast"/>
    <n v="4544.2348000000002"/>
  </r>
  <r>
    <n v="28"/>
    <s v="male"/>
    <n v="37.1"/>
    <n v="1"/>
    <x v="1"/>
    <s v="southwest"/>
    <n v="3277.1610000000001"/>
  </r>
  <r>
    <n v="41"/>
    <s v="female"/>
    <n v="28.05"/>
    <n v="1"/>
    <x v="1"/>
    <s v="southeast"/>
    <n v="6770.1925000000001"/>
  </r>
  <r>
    <n v="43"/>
    <s v="female"/>
    <n v="29.9"/>
    <n v="1"/>
    <x v="1"/>
    <s v="southwest"/>
    <n v="7337.7479999999996"/>
  </r>
  <r>
    <n v="49"/>
    <s v="female"/>
    <n v="33.344999999999999"/>
    <n v="2"/>
    <x v="1"/>
    <s v="northeast"/>
    <n v="10370.912549999999"/>
  </r>
  <r>
    <n v="64"/>
    <s v="male"/>
    <n v="23.76"/>
    <n v="0"/>
    <x v="0"/>
    <s v="southeast"/>
    <n v="26926.5144"/>
  </r>
  <r>
    <n v="55"/>
    <s v="female"/>
    <n v="30.5"/>
    <n v="0"/>
    <x v="1"/>
    <s v="southwest"/>
    <n v="10704.47"/>
  </r>
  <r>
    <n v="24"/>
    <s v="male"/>
    <n v="31.065000000000001"/>
    <n v="0"/>
    <x v="0"/>
    <s v="northeast"/>
    <n v="34254.053350000002"/>
  </r>
  <r>
    <n v="20"/>
    <s v="female"/>
    <n v="33.299999999999997"/>
    <n v="0"/>
    <x v="1"/>
    <s v="southwest"/>
    <n v="1880.4870000000001"/>
  </r>
  <r>
    <n v="45"/>
    <s v="male"/>
    <n v="27.5"/>
    <n v="3"/>
    <x v="1"/>
    <s v="southwest"/>
    <n v="8615.2999999999993"/>
  </r>
  <r>
    <n v="26"/>
    <s v="male"/>
    <n v="33.914999999999999"/>
    <n v="1"/>
    <x v="1"/>
    <s v="northwest"/>
    <n v="3292.5298499999999"/>
  </r>
  <r>
    <n v="25"/>
    <s v="female"/>
    <n v="34.484999999999999"/>
    <n v="0"/>
    <x v="1"/>
    <s v="northwest"/>
    <n v="3021.80915"/>
  </r>
  <r>
    <n v="43"/>
    <s v="male"/>
    <n v="25.52"/>
    <n v="5"/>
    <x v="1"/>
    <s v="southeast"/>
    <n v="14478.33015"/>
  </r>
  <r>
    <n v="35"/>
    <s v="male"/>
    <n v="27.61"/>
    <n v="1"/>
    <x v="1"/>
    <s v="southeast"/>
    <n v="4747.0528999999997"/>
  </r>
  <r>
    <n v="26"/>
    <s v="male"/>
    <n v="27.06"/>
    <n v="0"/>
    <x v="0"/>
    <s v="southeast"/>
    <n v="17043.341400000001"/>
  </r>
  <r>
    <n v="57"/>
    <s v="male"/>
    <n v="23.7"/>
    <n v="0"/>
    <x v="1"/>
    <s v="southwest"/>
    <n v="10959.33"/>
  </r>
  <r>
    <n v="22"/>
    <s v="female"/>
    <n v="30.4"/>
    <n v="0"/>
    <x v="1"/>
    <s v="northeast"/>
    <n v="2741.9479999999999"/>
  </r>
  <r>
    <n v="32"/>
    <s v="female"/>
    <n v="29.734999999999999"/>
    <n v="0"/>
    <x v="1"/>
    <s v="northwest"/>
    <n v="4357.0436499999996"/>
  </r>
  <r>
    <n v="39"/>
    <s v="male"/>
    <n v="29.925000000000001"/>
    <n v="1"/>
    <x v="0"/>
    <s v="northeast"/>
    <n v="22462.043750000001"/>
  </r>
  <r>
    <n v="25"/>
    <s v="female"/>
    <n v="26.79"/>
    <n v="2"/>
    <x v="1"/>
    <s v="northwest"/>
    <n v="4189.1130999999996"/>
  </r>
  <r>
    <n v="48"/>
    <s v="female"/>
    <n v="33.33"/>
    <n v="0"/>
    <x v="1"/>
    <s v="southeast"/>
    <n v="8283.6807000000008"/>
  </r>
  <r>
    <n v="47"/>
    <s v="female"/>
    <n v="27.645"/>
    <n v="2"/>
    <x v="0"/>
    <s v="northwest"/>
    <n v="24535.698550000001"/>
  </r>
  <r>
    <n v="18"/>
    <s v="female"/>
    <n v="21.66"/>
    <n v="0"/>
    <x v="0"/>
    <s v="northeast"/>
    <n v="14283.4594"/>
  </r>
  <r>
    <n v="18"/>
    <s v="male"/>
    <n v="30.03"/>
    <n v="1"/>
    <x v="1"/>
    <s v="southeast"/>
    <n v="1720.3536999999999"/>
  </r>
  <r>
    <n v="61"/>
    <s v="male"/>
    <n v="36.299999999999997"/>
    <n v="1"/>
    <x v="0"/>
    <s v="southwest"/>
    <n v="47403.88"/>
  </r>
  <r>
    <n v="47"/>
    <s v="female"/>
    <n v="24.32"/>
    <n v="0"/>
    <x v="1"/>
    <s v="northeast"/>
    <n v="8534.6718000000001"/>
  </r>
  <r>
    <n v="28"/>
    <s v="female"/>
    <n v="17.29"/>
    <n v="0"/>
    <x v="1"/>
    <s v="northeast"/>
    <n v="3732.6251000000002"/>
  </r>
  <r>
    <n v="36"/>
    <s v="female"/>
    <n v="25.9"/>
    <n v="1"/>
    <x v="1"/>
    <s v="southwest"/>
    <n v="5472.4489999999996"/>
  </r>
  <r>
    <n v="20"/>
    <s v="male"/>
    <n v="39.4"/>
    <n v="2"/>
    <x v="0"/>
    <s v="southwest"/>
    <n v="38344.565999999999"/>
  </r>
  <r>
    <n v="44"/>
    <s v="male"/>
    <n v="34.32"/>
    <n v="1"/>
    <x v="1"/>
    <s v="southeast"/>
    <n v="7147.4727999999996"/>
  </r>
  <r>
    <n v="38"/>
    <s v="female"/>
    <n v="19.95"/>
    <n v="2"/>
    <x v="1"/>
    <s v="northeast"/>
    <n v="7133.9025000000001"/>
  </r>
  <r>
    <n v="19"/>
    <s v="male"/>
    <n v="34.9"/>
    <n v="0"/>
    <x v="0"/>
    <s v="southwest"/>
    <n v="34828.654000000002"/>
  </r>
  <r>
    <n v="21"/>
    <s v="male"/>
    <n v="23.21"/>
    <n v="0"/>
    <x v="1"/>
    <s v="southeast"/>
    <n v="1515.3449000000001"/>
  </r>
  <r>
    <n v="46"/>
    <s v="male"/>
    <n v="25.745000000000001"/>
    <n v="3"/>
    <x v="1"/>
    <s v="northwest"/>
    <n v="9301.8935500000007"/>
  </r>
  <r>
    <n v="58"/>
    <s v="male"/>
    <n v="25.175000000000001"/>
    <n v="0"/>
    <x v="1"/>
    <s v="northeast"/>
    <n v="11931.125249999999"/>
  </r>
  <r>
    <n v="20"/>
    <s v="male"/>
    <n v="22"/>
    <n v="1"/>
    <x v="1"/>
    <s v="southwest"/>
    <n v="1964.78"/>
  </r>
  <r>
    <n v="18"/>
    <s v="male"/>
    <n v="26.125"/>
    <n v="0"/>
    <x v="1"/>
    <s v="northeast"/>
    <n v="1708.9257500000001"/>
  </r>
  <r>
    <n v="28"/>
    <s v="female"/>
    <n v="26.51"/>
    <n v="2"/>
    <x v="1"/>
    <s v="southeast"/>
    <n v="4340.4408999999996"/>
  </r>
  <r>
    <n v="33"/>
    <s v="male"/>
    <n v="27.454999999999998"/>
    <n v="2"/>
    <x v="1"/>
    <s v="northwest"/>
    <n v="5261.4694499999996"/>
  </r>
  <r>
    <n v="19"/>
    <s v="female"/>
    <n v="25.745000000000001"/>
    <n v="1"/>
    <x v="1"/>
    <s v="northwest"/>
    <n v="2710.8285500000002"/>
  </r>
  <r>
    <n v="45"/>
    <s v="male"/>
    <n v="30.36"/>
    <n v="0"/>
    <x v="0"/>
    <s v="southeast"/>
    <n v="62592.873090000001"/>
  </r>
  <r>
    <n v="62"/>
    <s v="male"/>
    <n v="30.875"/>
    <n v="3"/>
    <x v="0"/>
    <s v="northwest"/>
    <n v="46718.163249999998"/>
  </r>
  <r>
    <n v="25"/>
    <s v="female"/>
    <n v="20.8"/>
    <n v="1"/>
    <x v="1"/>
    <s v="southwest"/>
    <n v="3208.7869999999998"/>
  </r>
  <r>
    <n v="43"/>
    <s v="male"/>
    <n v="27.8"/>
    <n v="0"/>
    <x v="0"/>
    <s v="southwest"/>
    <n v="37829.724199999997"/>
  </r>
  <r>
    <n v="42"/>
    <s v="male"/>
    <n v="24.605"/>
    <n v="2"/>
    <x v="0"/>
    <s v="northeast"/>
    <n v="21259.377949999998"/>
  </r>
  <r>
    <n v="24"/>
    <s v="female"/>
    <n v="27.72"/>
    <n v="0"/>
    <x v="1"/>
    <s v="southeast"/>
    <n v="2464.6188000000002"/>
  </r>
  <r>
    <n v="29"/>
    <s v="female"/>
    <n v="21.85"/>
    <n v="0"/>
    <x v="0"/>
    <s v="northeast"/>
    <n v="16115.3045"/>
  </r>
  <r>
    <n v="32"/>
    <s v="male"/>
    <n v="28.12"/>
    <n v="4"/>
    <x v="0"/>
    <s v="northwest"/>
    <n v="21472.478800000001"/>
  </r>
  <r>
    <n v="25"/>
    <s v="female"/>
    <n v="30.2"/>
    <n v="0"/>
    <x v="0"/>
    <s v="southwest"/>
    <n v="33900.652999999998"/>
  </r>
  <r>
    <n v="41"/>
    <s v="male"/>
    <n v="32.200000000000003"/>
    <n v="2"/>
    <x v="1"/>
    <s v="southwest"/>
    <n v="6875.9610000000002"/>
  </r>
  <r>
    <n v="42"/>
    <s v="male"/>
    <n v="26.315000000000001"/>
    <n v="1"/>
    <x v="1"/>
    <s v="northwest"/>
    <n v="6940.90985"/>
  </r>
  <r>
    <n v="33"/>
    <s v="female"/>
    <n v="26.695"/>
    <n v="0"/>
    <x v="1"/>
    <s v="northwest"/>
    <n v="4571.4130500000001"/>
  </r>
  <r>
    <n v="34"/>
    <s v="male"/>
    <n v="42.9"/>
    <n v="1"/>
    <x v="1"/>
    <s v="southwest"/>
    <n v="4536.259"/>
  </r>
  <r>
    <n v="19"/>
    <s v="female"/>
    <n v="34.700000000000003"/>
    <n v="2"/>
    <x v="0"/>
    <s v="southwest"/>
    <n v="36397.576000000001"/>
  </r>
  <r>
    <n v="30"/>
    <s v="female"/>
    <n v="23.655000000000001"/>
    <n v="3"/>
    <x v="0"/>
    <s v="northwest"/>
    <n v="18765.87545"/>
  </r>
  <r>
    <n v="18"/>
    <s v="male"/>
    <n v="28.31"/>
    <n v="1"/>
    <x v="1"/>
    <s v="northeast"/>
    <n v="11272.331389999999"/>
  </r>
  <r>
    <n v="19"/>
    <s v="female"/>
    <n v="20.6"/>
    <n v="0"/>
    <x v="1"/>
    <s v="southwest"/>
    <n v="1731.6769999999999"/>
  </r>
  <r>
    <n v="18"/>
    <s v="male"/>
    <n v="53.13"/>
    <n v="0"/>
    <x v="1"/>
    <s v="southeast"/>
    <n v="1163.4627"/>
  </r>
  <r>
    <n v="35"/>
    <s v="male"/>
    <n v="39.71"/>
    <n v="4"/>
    <x v="1"/>
    <s v="northeast"/>
    <n v="19496.71917"/>
  </r>
  <r>
    <n v="39"/>
    <s v="female"/>
    <n v="26.315000000000001"/>
    <n v="2"/>
    <x v="1"/>
    <s v="northwest"/>
    <n v="7201.7008500000002"/>
  </r>
  <r>
    <n v="31"/>
    <s v="male"/>
    <n v="31.065000000000001"/>
    <n v="3"/>
    <x v="1"/>
    <s v="northwest"/>
    <n v="5425.0233500000004"/>
  </r>
  <r>
    <n v="62"/>
    <s v="male"/>
    <n v="26.695"/>
    <n v="0"/>
    <x v="0"/>
    <s v="northeast"/>
    <n v="28101.333050000001"/>
  </r>
  <r>
    <n v="62"/>
    <s v="male"/>
    <n v="38.83"/>
    <n v="0"/>
    <x v="1"/>
    <s v="southeast"/>
    <n v="12981.3457"/>
  </r>
  <r>
    <n v="42"/>
    <s v="female"/>
    <n v="40.369999999999997"/>
    <n v="2"/>
    <x v="0"/>
    <s v="southeast"/>
    <n v="43896.376300000004"/>
  </r>
  <r>
    <n v="31"/>
    <s v="male"/>
    <n v="25.934999999999999"/>
    <n v="1"/>
    <x v="1"/>
    <s v="northwest"/>
    <n v="4239.8926499999998"/>
  </r>
  <r>
    <n v="61"/>
    <s v="male"/>
    <n v="33.534999999999997"/>
    <n v="0"/>
    <x v="1"/>
    <s v="northeast"/>
    <n v="13143.336649999999"/>
  </r>
  <r>
    <n v="42"/>
    <s v="female"/>
    <n v="32.869999999999997"/>
    <n v="0"/>
    <x v="1"/>
    <s v="northeast"/>
    <n v="7050.0213000000003"/>
  </r>
  <r>
    <n v="51"/>
    <s v="male"/>
    <n v="30.03"/>
    <n v="1"/>
    <x v="1"/>
    <s v="southeast"/>
    <n v="9377.9046999999991"/>
  </r>
  <r>
    <n v="23"/>
    <s v="female"/>
    <n v="24.225000000000001"/>
    <n v="2"/>
    <x v="1"/>
    <s v="northeast"/>
    <n v="22395.74424"/>
  </r>
  <r>
    <n v="52"/>
    <s v="male"/>
    <n v="38.6"/>
    <n v="2"/>
    <x v="1"/>
    <s v="southwest"/>
    <n v="10325.206"/>
  </r>
  <r>
    <n v="57"/>
    <s v="female"/>
    <n v="25.74"/>
    <n v="2"/>
    <x v="1"/>
    <s v="southeast"/>
    <n v="12629.1656"/>
  </r>
  <r>
    <n v="23"/>
    <s v="female"/>
    <n v="33.4"/>
    <n v="0"/>
    <x v="1"/>
    <s v="southwest"/>
    <n v="10795.937330000001"/>
  </r>
  <r>
    <n v="52"/>
    <s v="female"/>
    <n v="44.7"/>
    <n v="3"/>
    <x v="1"/>
    <s v="southwest"/>
    <n v="11411.684999999999"/>
  </r>
  <r>
    <n v="50"/>
    <s v="male"/>
    <n v="30.97"/>
    <n v="3"/>
    <x v="1"/>
    <s v="northwest"/>
    <n v="10600.5483"/>
  </r>
  <r>
    <n v="18"/>
    <s v="female"/>
    <n v="31.92"/>
    <n v="0"/>
    <x v="1"/>
    <s v="northeast"/>
    <n v="2205.9807999999998"/>
  </r>
  <r>
    <n v="18"/>
    <s v="female"/>
    <n v="36.85"/>
    <n v="0"/>
    <x v="1"/>
    <s v="southeast"/>
    <n v="1629.8335"/>
  </r>
  <r>
    <n v="21"/>
    <s v="female"/>
    <n v="25.8"/>
    <n v="0"/>
    <x v="1"/>
    <s v="southwest"/>
    <n v="2007.9449999999999"/>
  </r>
  <r>
    <n v="61"/>
    <s v="female"/>
    <n v="29.07"/>
    <n v="0"/>
    <x v="0"/>
    <s v="northwest"/>
    <n v="29141.36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7.9"/>
    <n v="0"/>
    <s v="yes"/>
    <x v="0"/>
    <n v="16884.923999999999"/>
  </r>
  <r>
    <n v="18"/>
    <s v="male"/>
    <n v="33.770000000000003"/>
    <n v="1"/>
    <s v="no"/>
    <x v="1"/>
    <n v="1725.5523000000001"/>
  </r>
  <r>
    <n v="28"/>
    <s v="male"/>
    <n v="33"/>
    <n v="3"/>
    <s v="no"/>
    <x v="1"/>
    <n v="4449.4620000000004"/>
  </r>
  <r>
    <n v="33"/>
    <s v="male"/>
    <n v="22.704999999999998"/>
    <n v="0"/>
    <s v="no"/>
    <x v="2"/>
    <n v="21984.47061"/>
  </r>
  <r>
    <n v="32"/>
    <s v="male"/>
    <n v="28.88"/>
    <n v="0"/>
    <s v="no"/>
    <x v="2"/>
    <n v="3866.8552"/>
  </r>
  <r>
    <n v="31"/>
    <s v="female"/>
    <n v="25.74"/>
    <n v="0"/>
    <s v="no"/>
    <x v="1"/>
    <n v="3756.6215999999999"/>
  </r>
  <r>
    <n v="46"/>
    <s v="female"/>
    <n v="33.44"/>
    <n v="1"/>
    <s v="no"/>
    <x v="1"/>
    <n v="8240.5895999999993"/>
  </r>
  <r>
    <n v="37"/>
    <s v="female"/>
    <n v="27.74"/>
    <n v="3"/>
    <s v="no"/>
    <x v="2"/>
    <n v="7281.5056000000004"/>
  </r>
  <r>
    <n v="37"/>
    <s v="male"/>
    <n v="29.83"/>
    <n v="2"/>
    <s v="no"/>
    <x v="3"/>
    <n v="6406.4107000000004"/>
  </r>
  <r>
    <n v="60"/>
    <s v="female"/>
    <n v="25.84"/>
    <n v="0"/>
    <s v="no"/>
    <x v="2"/>
    <n v="28923.136920000001"/>
  </r>
  <r>
    <n v="25"/>
    <s v="male"/>
    <n v="26.22"/>
    <n v="0"/>
    <s v="no"/>
    <x v="3"/>
    <n v="2721.3208"/>
  </r>
  <r>
    <n v="62"/>
    <s v="female"/>
    <n v="26.29"/>
    <n v="0"/>
    <s v="yes"/>
    <x v="1"/>
    <n v="27808.7251"/>
  </r>
  <r>
    <n v="23"/>
    <s v="male"/>
    <n v="34.4"/>
    <n v="0"/>
    <s v="no"/>
    <x v="0"/>
    <n v="1826.8430000000001"/>
  </r>
  <r>
    <n v="56"/>
    <s v="female"/>
    <n v="39.82"/>
    <n v="0"/>
    <s v="no"/>
    <x v="1"/>
    <n v="11090.7178"/>
  </r>
  <r>
    <n v="27"/>
    <s v="male"/>
    <n v="42.13"/>
    <n v="0"/>
    <s v="yes"/>
    <x v="1"/>
    <n v="39611.757700000002"/>
  </r>
  <r>
    <n v="19"/>
    <s v="male"/>
    <n v="24.6"/>
    <n v="1"/>
    <s v="no"/>
    <x v="0"/>
    <n v="1837.2370000000001"/>
  </r>
  <r>
    <n v="52"/>
    <s v="female"/>
    <n v="30.78"/>
    <n v="1"/>
    <s v="no"/>
    <x v="3"/>
    <n v="10797.3362"/>
  </r>
  <r>
    <n v="23"/>
    <s v="male"/>
    <n v="23.844999999999999"/>
    <n v="0"/>
    <s v="no"/>
    <x v="3"/>
    <n v="2395.17155"/>
  </r>
  <r>
    <n v="56"/>
    <s v="male"/>
    <n v="40.299999999999997"/>
    <n v="0"/>
    <s v="no"/>
    <x v="0"/>
    <n v="10602.385"/>
  </r>
  <r>
    <n v="30"/>
    <s v="male"/>
    <n v="35.299999999999997"/>
    <n v="0"/>
    <s v="yes"/>
    <x v="0"/>
    <n v="36837.466999999997"/>
  </r>
  <r>
    <n v="60"/>
    <s v="female"/>
    <n v="36.005000000000003"/>
    <n v="0"/>
    <s v="no"/>
    <x v="3"/>
    <n v="13228.846949999999"/>
  </r>
  <r>
    <n v="30"/>
    <s v="female"/>
    <n v="32.4"/>
    <n v="1"/>
    <s v="no"/>
    <x v="0"/>
    <n v="4149.7359999999999"/>
  </r>
  <r>
    <n v="18"/>
    <s v="male"/>
    <n v="34.1"/>
    <n v="0"/>
    <s v="no"/>
    <x v="1"/>
    <n v="1137.011"/>
  </r>
  <r>
    <n v="34"/>
    <s v="female"/>
    <n v="31.92"/>
    <n v="1"/>
    <s v="yes"/>
    <x v="3"/>
    <n v="37701.876799999998"/>
  </r>
  <r>
    <n v="37"/>
    <s v="male"/>
    <n v="28.024999999999999"/>
    <n v="2"/>
    <s v="no"/>
    <x v="2"/>
    <n v="6203.90175"/>
  </r>
  <r>
    <n v="59"/>
    <s v="female"/>
    <n v="27.72"/>
    <n v="3"/>
    <s v="no"/>
    <x v="1"/>
    <n v="14001.1338"/>
  </r>
  <r>
    <n v="63"/>
    <s v="female"/>
    <n v="23.085000000000001"/>
    <n v="0"/>
    <s v="no"/>
    <x v="3"/>
    <n v="14451.835150000001"/>
  </r>
  <r>
    <n v="55"/>
    <s v="female"/>
    <n v="32.774999999999999"/>
    <n v="2"/>
    <s v="no"/>
    <x v="2"/>
    <n v="12268.632250000001"/>
  </r>
  <r>
    <n v="23"/>
    <s v="male"/>
    <n v="17.385000000000002"/>
    <n v="1"/>
    <s v="no"/>
    <x v="2"/>
    <n v="2775.1921499999999"/>
  </r>
  <r>
    <n v="31"/>
    <s v="male"/>
    <n v="36.299999999999997"/>
    <n v="2"/>
    <s v="yes"/>
    <x v="0"/>
    <n v="38711"/>
  </r>
  <r>
    <n v="22"/>
    <s v="male"/>
    <n v="35.6"/>
    <n v="0"/>
    <s v="yes"/>
    <x v="0"/>
    <n v="35585.576000000001"/>
  </r>
  <r>
    <n v="18"/>
    <s v="female"/>
    <n v="26.315000000000001"/>
    <n v="0"/>
    <s v="no"/>
    <x v="3"/>
    <n v="2198.1898500000002"/>
  </r>
  <r>
    <n v="19"/>
    <s v="female"/>
    <n v="28.6"/>
    <n v="5"/>
    <s v="no"/>
    <x v="0"/>
    <n v="4687.7969999999996"/>
  </r>
  <r>
    <n v="63"/>
    <s v="male"/>
    <n v="28.31"/>
    <n v="0"/>
    <s v="no"/>
    <x v="2"/>
    <n v="13770.097900000001"/>
  </r>
  <r>
    <n v="28"/>
    <s v="male"/>
    <n v="36.4"/>
    <n v="1"/>
    <s v="yes"/>
    <x v="0"/>
    <n v="51194.559139999998"/>
  </r>
  <r>
    <n v="19"/>
    <s v="male"/>
    <n v="20.425000000000001"/>
    <n v="0"/>
    <s v="no"/>
    <x v="2"/>
    <n v="1625.4337499999999"/>
  </r>
  <r>
    <n v="62"/>
    <s v="female"/>
    <n v="32.965000000000003"/>
    <n v="3"/>
    <s v="no"/>
    <x v="2"/>
    <n v="15612.19335"/>
  </r>
  <r>
    <n v="26"/>
    <s v="male"/>
    <n v="20.8"/>
    <n v="0"/>
    <s v="no"/>
    <x v="0"/>
    <n v="2302.3000000000002"/>
  </r>
  <r>
    <n v="35"/>
    <s v="male"/>
    <n v="36.67"/>
    <n v="1"/>
    <s v="yes"/>
    <x v="3"/>
    <n v="39774.276299999998"/>
  </r>
  <r>
    <n v="60"/>
    <s v="male"/>
    <n v="39.9"/>
    <n v="0"/>
    <s v="yes"/>
    <x v="0"/>
    <n v="48173.360999999997"/>
  </r>
  <r>
    <n v="24"/>
    <s v="female"/>
    <n v="26.6"/>
    <n v="0"/>
    <s v="no"/>
    <x v="3"/>
    <n v="3046.0619999999999"/>
  </r>
  <r>
    <n v="31"/>
    <s v="female"/>
    <n v="36.630000000000003"/>
    <n v="2"/>
    <s v="no"/>
    <x v="1"/>
    <n v="4949.7587000000003"/>
  </r>
  <r>
    <n v="41"/>
    <s v="male"/>
    <n v="21.78"/>
    <n v="1"/>
    <s v="no"/>
    <x v="1"/>
    <n v="6272.4772000000003"/>
  </r>
  <r>
    <n v="37"/>
    <s v="female"/>
    <n v="30.8"/>
    <n v="2"/>
    <s v="no"/>
    <x v="1"/>
    <n v="6313.759"/>
  </r>
  <r>
    <n v="38"/>
    <s v="male"/>
    <n v="37.049999999999997"/>
    <n v="1"/>
    <s v="no"/>
    <x v="3"/>
    <n v="6079.6715000000004"/>
  </r>
  <r>
    <n v="55"/>
    <s v="male"/>
    <n v="37.299999999999997"/>
    <n v="0"/>
    <s v="no"/>
    <x v="0"/>
    <n v="20630.283510000001"/>
  </r>
  <r>
    <n v="18"/>
    <s v="female"/>
    <n v="38.664999999999999"/>
    <n v="2"/>
    <s v="no"/>
    <x v="3"/>
    <n v="3393.35635"/>
  </r>
  <r>
    <n v="28"/>
    <s v="female"/>
    <n v="34.770000000000003"/>
    <n v="0"/>
    <s v="no"/>
    <x v="2"/>
    <n v="3556.9223000000002"/>
  </r>
  <r>
    <n v="60"/>
    <s v="female"/>
    <n v="24.53"/>
    <n v="0"/>
    <s v="no"/>
    <x v="1"/>
    <n v="12629.896699999999"/>
  </r>
  <r>
    <n v="36"/>
    <s v="male"/>
    <n v="35.200000000000003"/>
    <n v="1"/>
    <s v="yes"/>
    <x v="1"/>
    <n v="38709.175999999999"/>
  </r>
  <r>
    <n v="18"/>
    <s v="female"/>
    <n v="35.625"/>
    <n v="0"/>
    <s v="no"/>
    <x v="3"/>
    <n v="2211.1307499999998"/>
  </r>
  <r>
    <n v="21"/>
    <s v="female"/>
    <n v="33.630000000000003"/>
    <n v="2"/>
    <s v="no"/>
    <x v="2"/>
    <n v="3579.8287"/>
  </r>
  <r>
    <n v="48"/>
    <s v="male"/>
    <n v="28"/>
    <n v="1"/>
    <s v="yes"/>
    <x v="0"/>
    <n v="23568.272000000001"/>
  </r>
  <r>
    <n v="36"/>
    <s v="male"/>
    <n v="34.43"/>
    <n v="0"/>
    <s v="yes"/>
    <x v="1"/>
    <n v="37742.575700000001"/>
  </r>
  <r>
    <n v="40"/>
    <s v="female"/>
    <n v="28.69"/>
    <n v="3"/>
    <s v="no"/>
    <x v="2"/>
    <n v="8059.6791000000003"/>
  </r>
  <r>
    <n v="58"/>
    <s v="male"/>
    <n v="36.954999999999998"/>
    <n v="2"/>
    <s v="yes"/>
    <x v="2"/>
    <n v="47496.494449999998"/>
  </r>
  <r>
    <n v="58"/>
    <s v="female"/>
    <n v="31.824999999999999"/>
    <n v="2"/>
    <s v="no"/>
    <x v="3"/>
    <n v="13607.36875"/>
  </r>
  <r>
    <n v="18"/>
    <s v="male"/>
    <n v="31.68"/>
    <n v="2"/>
    <s v="yes"/>
    <x v="1"/>
    <n v="34303.167200000004"/>
  </r>
  <r>
    <n v="53"/>
    <s v="female"/>
    <n v="22.88"/>
    <n v="1"/>
    <s v="yes"/>
    <x v="1"/>
    <n v="23244.790199999999"/>
  </r>
  <r>
    <n v="34"/>
    <s v="female"/>
    <n v="37.335000000000001"/>
    <n v="2"/>
    <s v="no"/>
    <x v="2"/>
    <n v="5989.5236500000001"/>
  </r>
  <r>
    <n v="43"/>
    <s v="male"/>
    <n v="27.36"/>
    <n v="3"/>
    <s v="no"/>
    <x v="3"/>
    <n v="8606.2173999999995"/>
  </r>
  <r>
    <n v="25"/>
    <s v="male"/>
    <n v="33.659999999999997"/>
    <n v="4"/>
    <s v="no"/>
    <x v="1"/>
    <n v="4504.6624000000002"/>
  </r>
  <r>
    <n v="64"/>
    <s v="male"/>
    <n v="24.7"/>
    <n v="1"/>
    <s v="no"/>
    <x v="2"/>
    <n v="30166.618170000002"/>
  </r>
  <r>
    <n v="28"/>
    <s v="female"/>
    <n v="25.934999999999999"/>
    <n v="1"/>
    <s v="no"/>
    <x v="2"/>
    <n v="4133.6416499999996"/>
  </r>
  <r>
    <n v="20"/>
    <s v="female"/>
    <n v="22.42"/>
    <n v="0"/>
    <s v="yes"/>
    <x v="2"/>
    <n v="14711.7438"/>
  </r>
  <r>
    <n v="19"/>
    <s v="female"/>
    <n v="28.9"/>
    <n v="0"/>
    <s v="no"/>
    <x v="0"/>
    <n v="1743.2139999999999"/>
  </r>
  <r>
    <n v="61"/>
    <s v="female"/>
    <n v="39.1"/>
    <n v="2"/>
    <s v="no"/>
    <x v="0"/>
    <n v="14235.072"/>
  </r>
  <r>
    <n v="40"/>
    <s v="male"/>
    <n v="26.315000000000001"/>
    <n v="1"/>
    <s v="no"/>
    <x v="2"/>
    <n v="6389.3778499999999"/>
  </r>
  <r>
    <n v="40"/>
    <s v="female"/>
    <n v="36.19"/>
    <n v="0"/>
    <s v="no"/>
    <x v="1"/>
    <n v="5920.1040999999996"/>
  </r>
  <r>
    <n v="28"/>
    <s v="male"/>
    <n v="23.98"/>
    <n v="3"/>
    <s v="yes"/>
    <x v="1"/>
    <n v="17663.144199999999"/>
  </r>
  <r>
    <n v="27"/>
    <s v="female"/>
    <n v="24.75"/>
    <n v="0"/>
    <s v="yes"/>
    <x v="1"/>
    <n v="16577.779500000001"/>
  </r>
  <r>
    <n v="31"/>
    <s v="male"/>
    <n v="28.5"/>
    <n v="5"/>
    <s v="no"/>
    <x v="3"/>
    <n v="6799.4579999999996"/>
  </r>
  <r>
    <n v="53"/>
    <s v="female"/>
    <n v="28.1"/>
    <n v="3"/>
    <s v="no"/>
    <x v="0"/>
    <n v="11741.726000000001"/>
  </r>
  <r>
    <n v="58"/>
    <s v="male"/>
    <n v="32.01"/>
    <n v="1"/>
    <s v="no"/>
    <x v="1"/>
    <n v="11946.625899999999"/>
  </r>
  <r>
    <n v="44"/>
    <s v="male"/>
    <n v="27.4"/>
    <n v="2"/>
    <s v="no"/>
    <x v="0"/>
    <n v="7726.8540000000003"/>
  </r>
  <r>
    <n v="57"/>
    <s v="male"/>
    <n v="34.01"/>
    <n v="0"/>
    <s v="no"/>
    <x v="2"/>
    <n v="11356.660900000001"/>
  </r>
  <r>
    <n v="29"/>
    <s v="female"/>
    <n v="29.59"/>
    <n v="1"/>
    <s v="no"/>
    <x v="1"/>
    <n v="3947.4131000000002"/>
  </r>
  <r>
    <n v="21"/>
    <s v="male"/>
    <n v="35.53"/>
    <n v="0"/>
    <s v="no"/>
    <x v="1"/>
    <n v="1532.4697000000001"/>
  </r>
  <r>
    <n v="22"/>
    <s v="female"/>
    <n v="39.805"/>
    <n v="0"/>
    <s v="no"/>
    <x v="3"/>
    <n v="2755.0209500000001"/>
  </r>
  <r>
    <n v="41"/>
    <s v="female"/>
    <n v="32.965000000000003"/>
    <n v="0"/>
    <s v="no"/>
    <x v="2"/>
    <n v="6571.0243499999997"/>
  </r>
  <r>
    <n v="31"/>
    <s v="male"/>
    <n v="26.885000000000002"/>
    <n v="1"/>
    <s v="no"/>
    <x v="3"/>
    <n v="4441.2131499999996"/>
  </r>
  <r>
    <n v="45"/>
    <s v="female"/>
    <n v="38.284999999999997"/>
    <n v="0"/>
    <s v="no"/>
    <x v="3"/>
    <n v="7935.29115"/>
  </r>
  <r>
    <n v="22"/>
    <s v="male"/>
    <n v="37.619999999999997"/>
    <n v="1"/>
    <s v="yes"/>
    <x v="1"/>
    <n v="37165.163800000002"/>
  </r>
  <r>
    <n v="48"/>
    <s v="female"/>
    <n v="41.23"/>
    <n v="4"/>
    <s v="no"/>
    <x v="2"/>
    <n v="11033.661700000001"/>
  </r>
  <r>
    <n v="37"/>
    <s v="female"/>
    <n v="34.799999999999997"/>
    <n v="2"/>
    <s v="yes"/>
    <x v="0"/>
    <n v="39836.519"/>
  </r>
  <r>
    <n v="45"/>
    <s v="male"/>
    <n v="22.895"/>
    <n v="2"/>
    <s v="yes"/>
    <x v="2"/>
    <n v="21098.554049999999"/>
  </r>
  <r>
    <n v="57"/>
    <s v="female"/>
    <n v="31.16"/>
    <n v="0"/>
    <s v="yes"/>
    <x v="2"/>
    <n v="43578.939400000003"/>
  </r>
  <r>
    <n v="56"/>
    <s v="female"/>
    <n v="27.2"/>
    <n v="0"/>
    <s v="no"/>
    <x v="0"/>
    <n v="11073.175999999999"/>
  </r>
  <r>
    <n v="46"/>
    <s v="female"/>
    <n v="27.74"/>
    <n v="0"/>
    <s v="no"/>
    <x v="2"/>
    <n v="8026.6665999999996"/>
  </r>
  <r>
    <n v="55"/>
    <s v="female"/>
    <n v="26.98"/>
    <n v="0"/>
    <s v="no"/>
    <x v="2"/>
    <n v="11082.5772"/>
  </r>
  <r>
    <n v="21"/>
    <s v="female"/>
    <n v="39.49"/>
    <n v="0"/>
    <s v="no"/>
    <x v="1"/>
    <n v="2026.9740999999999"/>
  </r>
  <r>
    <n v="53"/>
    <s v="female"/>
    <n v="24.795000000000002"/>
    <n v="1"/>
    <s v="no"/>
    <x v="2"/>
    <n v="10942.13205"/>
  </r>
  <r>
    <n v="59"/>
    <s v="male"/>
    <n v="29.83"/>
    <n v="3"/>
    <s v="yes"/>
    <x v="3"/>
    <n v="30184.936699999998"/>
  </r>
  <r>
    <n v="35"/>
    <s v="male"/>
    <n v="34.770000000000003"/>
    <n v="2"/>
    <s v="no"/>
    <x v="2"/>
    <n v="5729.0052999999998"/>
  </r>
  <r>
    <n v="64"/>
    <s v="female"/>
    <n v="31.3"/>
    <n v="2"/>
    <s v="yes"/>
    <x v="0"/>
    <n v="47291.055"/>
  </r>
  <r>
    <n v="28"/>
    <s v="female"/>
    <n v="37.619999999999997"/>
    <n v="1"/>
    <s v="no"/>
    <x v="1"/>
    <n v="3766.8838000000001"/>
  </r>
  <r>
    <n v="54"/>
    <s v="female"/>
    <n v="30.8"/>
    <n v="3"/>
    <s v="no"/>
    <x v="0"/>
    <n v="12105.32"/>
  </r>
  <r>
    <n v="55"/>
    <s v="male"/>
    <n v="38.28"/>
    <n v="0"/>
    <s v="no"/>
    <x v="1"/>
    <n v="10226.2842"/>
  </r>
  <r>
    <n v="56"/>
    <s v="male"/>
    <n v="19.95"/>
    <n v="0"/>
    <s v="yes"/>
    <x v="3"/>
    <n v="22412.648499999999"/>
  </r>
  <r>
    <n v="38"/>
    <s v="male"/>
    <n v="19.3"/>
    <n v="0"/>
    <s v="yes"/>
    <x v="0"/>
    <n v="15820.699000000001"/>
  </r>
  <r>
    <n v="41"/>
    <s v="female"/>
    <n v="31.6"/>
    <n v="0"/>
    <s v="no"/>
    <x v="0"/>
    <n v="6186.1270000000004"/>
  </r>
  <r>
    <n v="30"/>
    <s v="male"/>
    <n v="25.46"/>
    <n v="0"/>
    <s v="no"/>
    <x v="3"/>
    <n v="3645.0893999999998"/>
  </r>
  <r>
    <n v="18"/>
    <s v="female"/>
    <n v="30.114999999999998"/>
    <n v="0"/>
    <s v="no"/>
    <x v="3"/>
    <n v="21344.846699999998"/>
  </r>
  <r>
    <n v="61"/>
    <s v="female"/>
    <n v="29.92"/>
    <n v="3"/>
    <s v="yes"/>
    <x v="1"/>
    <n v="30942.191800000001"/>
  </r>
  <r>
    <n v="34"/>
    <s v="female"/>
    <n v="27.5"/>
    <n v="1"/>
    <s v="no"/>
    <x v="0"/>
    <n v="5003.8530000000001"/>
  </r>
  <r>
    <n v="20"/>
    <s v="male"/>
    <n v="28.024999999999999"/>
    <n v="1"/>
    <s v="yes"/>
    <x v="2"/>
    <n v="17560.37975"/>
  </r>
  <r>
    <n v="19"/>
    <s v="female"/>
    <n v="28.4"/>
    <n v="1"/>
    <s v="no"/>
    <x v="0"/>
    <n v="2331.5189999999998"/>
  </r>
  <r>
    <n v="26"/>
    <s v="male"/>
    <n v="30.875"/>
    <n v="2"/>
    <s v="no"/>
    <x v="2"/>
    <n v="3877.3042500000001"/>
  </r>
  <r>
    <n v="29"/>
    <s v="male"/>
    <n v="27.94"/>
    <n v="0"/>
    <s v="no"/>
    <x v="1"/>
    <n v="2867.1196"/>
  </r>
  <r>
    <n v="63"/>
    <s v="male"/>
    <n v="35.090000000000003"/>
    <n v="0"/>
    <s v="yes"/>
    <x v="1"/>
    <n v="47055.532099999997"/>
  </r>
  <r>
    <n v="54"/>
    <s v="male"/>
    <n v="33.630000000000003"/>
    <n v="1"/>
    <s v="no"/>
    <x v="2"/>
    <n v="10825.253699999999"/>
  </r>
  <r>
    <n v="55"/>
    <s v="female"/>
    <n v="29.7"/>
    <n v="2"/>
    <s v="no"/>
    <x v="0"/>
    <n v="11881.358"/>
  </r>
  <r>
    <n v="37"/>
    <s v="male"/>
    <n v="30.8"/>
    <n v="0"/>
    <s v="no"/>
    <x v="0"/>
    <n v="4646.759"/>
  </r>
  <r>
    <n v="21"/>
    <s v="female"/>
    <n v="35.72"/>
    <n v="0"/>
    <s v="no"/>
    <x v="2"/>
    <n v="2404.7338"/>
  </r>
  <r>
    <n v="52"/>
    <s v="male"/>
    <n v="32.204999999999998"/>
    <n v="3"/>
    <s v="no"/>
    <x v="3"/>
    <n v="11488.31695"/>
  </r>
  <r>
    <n v="60"/>
    <s v="male"/>
    <n v="28.594999999999999"/>
    <n v="0"/>
    <s v="no"/>
    <x v="3"/>
    <n v="30259.995559999999"/>
  </r>
  <r>
    <n v="58"/>
    <s v="male"/>
    <n v="49.06"/>
    <n v="0"/>
    <s v="no"/>
    <x v="1"/>
    <n v="11381.3254"/>
  </r>
  <r>
    <n v="29"/>
    <s v="female"/>
    <n v="27.94"/>
    <n v="1"/>
    <s v="yes"/>
    <x v="1"/>
    <n v="19107.779600000002"/>
  </r>
  <r>
    <n v="49"/>
    <s v="female"/>
    <n v="27.17"/>
    <n v="0"/>
    <s v="no"/>
    <x v="1"/>
    <n v="8601.3292999999994"/>
  </r>
  <r>
    <n v="37"/>
    <s v="female"/>
    <n v="23.37"/>
    <n v="2"/>
    <s v="no"/>
    <x v="2"/>
    <n v="6686.4313000000002"/>
  </r>
  <r>
    <n v="44"/>
    <s v="male"/>
    <n v="37.1"/>
    <n v="2"/>
    <s v="no"/>
    <x v="0"/>
    <n v="7740.3370000000004"/>
  </r>
  <r>
    <n v="18"/>
    <s v="male"/>
    <n v="23.75"/>
    <n v="0"/>
    <s v="no"/>
    <x v="3"/>
    <n v="1705.6244999999999"/>
  </r>
  <r>
    <n v="20"/>
    <s v="female"/>
    <n v="28.975000000000001"/>
    <n v="0"/>
    <s v="no"/>
    <x v="2"/>
    <n v="2257.47525"/>
  </r>
  <r>
    <n v="44"/>
    <s v="male"/>
    <n v="31.35"/>
    <n v="1"/>
    <s v="yes"/>
    <x v="3"/>
    <n v="39556.494500000001"/>
  </r>
  <r>
    <n v="47"/>
    <s v="female"/>
    <n v="33.914999999999999"/>
    <n v="3"/>
    <s v="no"/>
    <x v="2"/>
    <n v="10115.00885"/>
  </r>
  <r>
    <n v="26"/>
    <s v="female"/>
    <n v="28.785"/>
    <n v="0"/>
    <s v="no"/>
    <x v="3"/>
    <n v="3385.3991500000002"/>
  </r>
  <r>
    <n v="19"/>
    <s v="female"/>
    <n v="28.3"/>
    <n v="0"/>
    <s v="yes"/>
    <x v="0"/>
    <n v="17081.080000000002"/>
  </r>
  <r>
    <n v="52"/>
    <s v="female"/>
    <n v="37.4"/>
    <n v="0"/>
    <s v="no"/>
    <x v="0"/>
    <n v="9634.5380000000005"/>
  </r>
  <r>
    <n v="32"/>
    <s v="female"/>
    <n v="17.765000000000001"/>
    <n v="2"/>
    <s v="yes"/>
    <x v="2"/>
    <n v="32734.186300000001"/>
  </r>
  <r>
    <n v="38"/>
    <s v="male"/>
    <n v="34.700000000000003"/>
    <n v="2"/>
    <s v="no"/>
    <x v="0"/>
    <n v="6082.4049999999997"/>
  </r>
  <r>
    <n v="59"/>
    <s v="female"/>
    <n v="26.504999999999999"/>
    <n v="0"/>
    <s v="no"/>
    <x v="3"/>
    <n v="12815.444949999999"/>
  </r>
  <r>
    <n v="61"/>
    <s v="female"/>
    <n v="22.04"/>
    <n v="0"/>
    <s v="no"/>
    <x v="3"/>
    <n v="13616.3586"/>
  </r>
  <r>
    <n v="53"/>
    <s v="female"/>
    <n v="35.9"/>
    <n v="2"/>
    <s v="no"/>
    <x v="0"/>
    <n v="11163.567999999999"/>
  </r>
  <r>
    <n v="19"/>
    <s v="male"/>
    <n v="25.555"/>
    <n v="0"/>
    <s v="no"/>
    <x v="2"/>
    <n v="1632.5644500000001"/>
  </r>
  <r>
    <n v="20"/>
    <s v="female"/>
    <n v="28.785"/>
    <n v="0"/>
    <s v="no"/>
    <x v="3"/>
    <n v="2457.2111500000001"/>
  </r>
  <r>
    <n v="22"/>
    <s v="female"/>
    <n v="28.05"/>
    <n v="0"/>
    <s v="no"/>
    <x v="1"/>
    <n v="2155.6815000000001"/>
  </r>
  <r>
    <n v="19"/>
    <s v="male"/>
    <n v="34.1"/>
    <n v="0"/>
    <s v="no"/>
    <x v="0"/>
    <n v="1261.442"/>
  </r>
  <r>
    <n v="22"/>
    <s v="male"/>
    <n v="25.175000000000001"/>
    <n v="0"/>
    <s v="no"/>
    <x v="2"/>
    <n v="2045.68525"/>
  </r>
  <r>
    <n v="54"/>
    <s v="female"/>
    <n v="31.9"/>
    <n v="3"/>
    <s v="no"/>
    <x v="1"/>
    <n v="27322.73386"/>
  </r>
  <r>
    <n v="22"/>
    <s v="female"/>
    <n v="36"/>
    <n v="0"/>
    <s v="no"/>
    <x v="0"/>
    <n v="2166.732"/>
  </r>
  <r>
    <n v="34"/>
    <s v="male"/>
    <n v="22.42"/>
    <n v="2"/>
    <s v="no"/>
    <x v="3"/>
    <n v="27375.904780000001"/>
  </r>
  <r>
    <n v="26"/>
    <s v="male"/>
    <n v="32.49"/>
    <n v="1"/>
    <s v="no"/>
    <x v="3"/>
    <n v="3490.5491000000002"/>
  </r>
  <r>
    <n v="34"/>
    <s v="male"/>
    <n v="25.3"/>
    <n v="2"/>
    <s v="yes"/>
    <x v="1"/>
    <n v="18972.494999999999"/>
  </r>
  <r>
    <n v="29"/>
    <s v="male"/>
    <n v="29.734999999999999"/>
    <n v="2"/>
    <s v="no"/>
    <x v="2"/>
    <n v="18157.876"/>
  </r>
  <r>
    <n v="30"/>
    <s v="male"/>
    <n v="28.69"/>
    <n v="3"/>
    <s v="yes"/>
    <x v="2"/>
    <n v="20745.989099999999"/>
  </r>
  <r>
    <n v="29"/>
    <s v="female"/>
    <n v="38.83"/>
    <n v="3"/>
    <s v="no"/>
    <x v="1"/>
    <n v="5138.2566999999999"/>
  </r>
  <r>
    <n v="46"/>
    <s v="male"/>
    <n v="30.495000000000001"/>
    <n v="3"/>
    <s v="yes"/>
    <x v="2"/>
    <n v="40720.551050000002"/>
  </r>
  <r>
    <n v="51"/>
    <s v="female"/>
    <n v="37.729999999999997"/>
    <n v="1"/>
    <s v="no"/>
    <x v="1"/>
    <n v="9877.6077000000005"/>
  </r>
  <r>
    <n v="53"/>
    <s v="female"/>
    <n v="37.43"/>
    <n v="1"/>
    <s v="no"/>
    <x v="2"/>
    <n v="10959.6947"/>
  </r>
  <r>
    <n v="19"/>
    <s v="male"/>
    <n v="28.4"/>
    <n v="1"/>
    <s v="no"/>
    <x v="0"/>
    <n v="1842.519"/>
  </r>
  <r>
    <n v="35"/>
    <s v="male"/>
    <n v="24.13"/>
    <n v="1"/>
    <s v="no"/>
    <x v="2"/>
    <n v="5125.2156999999997"/>
  </r>
  <r>
    <n v="48"/>
    <s v="male"/>
    <n v="29.7"/>
    <n v="0"/>
    <s v="no"/>
    <x v="1"/>
    <n v="7789.6350000000002"/>
  </r>
  <r>
    <n v="32"/>
    <s v="female"/>
    <n v="37.145000000000003"/>
    <n v="3"/>
    <s v="no"/>
    <x v="3"/>
    <n v="6334.3435499999996"/>
  </r>
  <r>
    <n v="42"/>
    <s v="female"/>
    <n v="23.37"/>
    <n v="0"/>
    <s v="yes"/>
    <x v="3"/>
    <n v="19964.746299999999"/>
  </r>
  <r>
    <n v="40"/>
    <s v="female"/>
    <n v="25.46"/>
    <n v="1"/>
    <s v="no"/>
    <x v="3"/>
    <n v="7077.1894000000002"/>
  </r>
  <r>
    <n v="44"/>
    <s v="male"/>
    <n v="39.520000000000003"/>
    <n v="0"/>
    <s v="no"/>
    <x v="2"/>
    <n v="6948.7007999999996"/>
  </r>
  <r>
    <n v="48"/>
    <s v="male"/>
    <n v="24.42"/>
    <n v="0"/>
    <s v="yes"/>
    <x v="1"/>
    <n v="21223.675800000001"/>
  </r>
  <r>
    <n v="18"/>
    <s v="male"/>
    <n v="25.175000000000001"/>
    <n v="0"/>
    <s v="yes"/>
    <x v="3"/>
    <n v="15518.180249999999"/>
  </r>
  <r>
    <n v="30"/>
    <s v="male"/>
    <n v="35.53"/>
    <n v="0"/>
    <s v="yes"/>
    <x v="1"/>
    <n v="36950.256699999998"/>
  </r>
  <r>
    <n v="50"/>
    <s v="female"/>
    <n v="27.83"/>
    <n v="3"/>
    <s v="no"/>
    <x v="1"/>
    <n v="19749.383379999999"/>
  </r>
  <r>
    <n v="42"/>
    <s v="female"/>
    <n v="26.6"/>
    <n v="0"/>
    <s v="yes"/>
    <x v="2"/>
    <n v="21348.705999999998"/>
  </r>
  <r>
    <n v="18"/>
    <s v="female"/>
    <n v="36.85"/>
    <n v="0"/>
    <s v="yes"/>
    <x v="1"/>
    <n v="36149.483500000002"/>
  </r>
  <r>
    <n v="54"/>
    <s v="male"/>
    <n v="39.6"/>
    <n v="1"/>
    <s v="no"/>
    <x v="0"/>
    <n v="10450.552"/>
  </r>
  <r>
    <n v="32"/>
    <s v="female"/>
    <n v="29.8"/>
    <n v="2"/>
    <s v="no"/>
    <x v="0"/>
    <n v="5152.134"/>
  </r>
  <r>
    <n v="37"/>
    <s v="male"/>
    <n v="29.64"/>
    <n v="0"/>
    <s v="no"/>
    <x v="2"/>
    <n v="5028.1466"/>
  </r>
  <r>
    <n v="47"/>
    <s v="male"/>
    <n v="28.215"/>
    <n v="4"/>
    <s v="no"/>
    <x v="3"/>
    <n v="10407.085849999999"/>
  </r>
  <r>
    <n v="20"/>
    <s v="female"/>
    <n v="37"/>
    <n v="5"/>
    <s v="no"/>
    <x v="0"/>
    <n v="4830.63"/>
  </r>
  <r>
    <n v="32"/>
    <s v="female"/>
    <n v="33.155000000000001"/>
    <n v="3"/>
    <s v="no"/>
    <x v="2"/>
    <n v="6128.79745"/>
  </r>
  <r>
    <n v="19"/>
    <s v="female"/>
    <n v="31.824999999999999"/>
    <n v="1"/>
    <s v="no"/>
    <x v="2"/>
    <n v="2719.2797500000001"/>
  </r>
  <r>
    <n v="27"/>
    <s v="male"/>
    <n v="18.905000000000001"/>
    <n v="3"/>
    <s v="no"/>
    <x v="3"/>
    <n v="4827.9049500000001"/>
  </r>
  <r>
    <n v="63"/>
    <s v="male"/>
    <n v="41.47"/>
    <n v="0"/>
    <s v="no"/>
    <x v="1"/>
    <n v="13405.390299999999"/>
  </r>
  <r>
    <n v="49"/>
    <s v="male"/>
    <n v="30.3"/>
    <n v="0"/>
    <s v="no"/>
    <x v="0"/>
    <n v="8116.68"/>
  </r>
  <r>
    <n v="18"/>
    <s v="male"/>
    <n v="15.96"/>
    <n v="0"/>
    <s v="no"/>
    <x v="3"/>
    <n v="1694.7963999999999"/>
  </r>
  <r>
    <n v="35"/>
    <s v="female"/>
    <n v="34.799999999999997"/>
    <n v="1"/>
    <s v="no"/>
    <x v="0"/>
    <n v="5246.0469999999996"/>
  </r>
  <r>
    <n v="24"/>
    <s v="female"/>
    <n v="33.344999999999999"/>
    <n v="0"/>
    <s v="no"/>
    <x v="2"/>
    <n v="2855.4375500000001"/>
  </r>
  <r>
    <n v="63"/>
    <s v="female"/>
    <n v="37.700000000000003"/>
    <n v="0"/>
    <s v="yes"/>
    <x v="0"/>
    <n v="48824.45"/>
  </r>
  <r>
    <n v="38"/>
    <s v="male"/>
    <n v="27.835000000000001"/>
    <n v="2"/>
    <s v="no"/>
    <x v="2"/>
    <n v="6455.86265"/>
  </r>
  <r>
    <n v="54"/>
    <s v="male"/>
    <n v="29.2"/>
    <n v="1"/>
    <s v="no"/>
    <x v="0"/>
    <n v="10436.096"/>
  </r>
  <r>
    <n v="46"/>
    <s v="female"/>
    <n v="28.9"/>
    <n v="2"/>
    <s v="no"/>
    <x v="0"/>
    <n v="8823.2790000000005"/>
  </r>
  <r>
    <n v="41"/>
    <s v="female"/>
    <n v="33.155000000000001"/>
    <n v="3"/>
    <s v="no"/>
    <x v="3"/>
    <n v="8538.28845"/>
  </r>
  <r>
    <n v="58"/>
    <s v="male"/>
    <n v="28.594999999999999"/>
    <n v="0"/>
    <s v="no"/>
    <x v="2"/>
    <n v="11735.87905"/>
  </r>
  <r>
    <n v="18"/>
    <s v="female"/>
    <n v="38.28"/>
    <n v="0"/>
    <s v="no"/>
    <x v="1"/>
    <n v="1631.8212000000001"/>
  </r>
  <r>
    <n v="22"/>
    <s v="male"/>
    <n v="19.95"/>
    <n v="3"/>
    <s v="no"/>
    <x v="3"/>
    <n v="4005.4225000000001"/>
  </r>
  <r>
    <n v="44"/>
    <s v="female"/>
    <n v="26.41"/>
    <n v="0"/>
    <s v="no"/>
    <x v="2"/>
    <n v="7419.4778999999999"/>
  </r>
  <r>
    <n v="44"/>
    <s v="male"/>
    <n v="30.69"/>
    <n v="2"/>
    <s v="no"/>
    <x v="1"/>
    <n v="7731.4270999999999"/>
  </r>
  <r>
    <n v="36"/>
    <s v="male"/>
    <n v="41.895000000000003"/>
    <n v="3"/>
    <s v="yes"/>
    <x v="3"/>
    <n v="43753.337050000002"/>
  </r>
  <r>
    <n v="26"/>
    <s v="female"/>
    <n v="29.92"/>
    <n v="2"/>
    <s v="no"/>
    <x v="1"/>
    <n v="3981.9767999999999"/>
  </r>
  <r>
    <n v="30"/>
    <s v="female"/>
    <n v="30.9"/>
    <n v="3"/>
    <s v="no"/>
    <x v="0"/>
    <n v="5325.6509999999998"/>
  </r>
  <r>
    <n v="41"/>
    <s v="female"/>
    <n v="32.200000000000003"/>
    <n v="1"/>
    <s v="no"/>
    <x v="0"/>
    <n v="6775.9610000000002"/>
  </r>
  <r>
    <n v="29"/>
    <s v="female"/>
    <n v="32.11"/>
    <n v="2"/>
    <s v="no"/>
    <x v="2"/>
    <n v="4922.9159"/>
  </r>
  <r>
    <n v="61"/>
    <s v="male"/>
    <n v="31.57"/>
    <n v="0"/>
    <s v="no"/>
    <x v="1"/>
    <n v="12557.605299999999"/>
  </r>
  <r>
    <n v="36"/>
    <s v="female"/>
    <n v="26.2"/>
    <n v="0"/>
    <s v="no"/>
    <x v="0"/>
    <n v="4883.866"/>
  </r>
  <r>
    <n v="25"/>
    <s v="male"/>
    <n v="25.74"/>
    <n v="0"/>
    <s v="no"/>
    <x v="1"/>
    <n v="2137.6536000000001"/>
  </r>
  <r>
    <n v="56"/>
    <s v="female"/>
    <n v="26.6"/>
    <n v="1"/>
    <s v="no"/>
    <x v="2"/>
    <n v="12044.342000000001"/>
  </r>
  <r>
    <n v="18"/>
    <s v="male"/>
    <n v="34.43"/>
    <n v="0"/>
    <s v="no"/>
    <x v="1"/>
    <n v="1137.4697000000001"/>
  </r>
  <r>
    <n v="19"/>
    <s v="male"/>
    <n v="30.59"/>
    <n v="0"/>
    <s v="no"/>
    <x v="2"/>
    <n v="1639.5631000000001"/>
  </r>
  <r>
    <n v="39"/>
    <s v="female"/>
    <n v="32.799999999999997"/>
    <n v="0"/>
    <s v="no"/>
    <x v="0"/>
    <n v="5649.7150000000001"/>
  </r>
  <r>
    <n v="45"/>
    <s v="female"/>
    <n v="28.6"/>
    <n v="2"/>
    <s v="no"/>
    <x v="1"/>
    <n v="8516.8289999999997"/>
  </r>
  <r>
    <n v="51"/>
    <s v="female"/>
    <n v="18.05"/>
    <n v="0"/>
    <s v="no"/>
    <x v="2"/>
    <n v="9644.2525000000005"/>
  </r>
  <r>
    <n v="64"/>
    <s v="female"/>
    <n v="39.33"/>
    <n v="0"/>
    <s v="no"/>
    <x v="3"/>
    <n v="14901.5167"/>
  </r>
  <r>
    <n v="19"/>
    <s v="female"/>
    <n v="32.11"/>
    <n v="0"/>
    <s v="no"/>
    <x v="2"/>
    <n v="2130.6759000000002"/>
  </r>
  <r>
    <n v="48"/>
    <s v="female"/>
    <n v="32.229999999999997"/>
    <n v="1"/>
    <s v="no"/>
    <x v="1"/>
    <n v="8871.1517000000003"/>
  </r>
  <r>
    <n v="60"/>
    <s v="female"/>
    <n v="24.035"/>
    <n v="0"/>
    <s v="no"/>
    <x v="2"/>
    <n v="13012.20865"/>
  </r>
  <r>
    <n v="27"/>
    <s v="female"/>
    <n v="36.08"/>
    <n v="0"/>
    <s v="yes"/>
    <x v="1"/>
    <n v="37133.898200000003"/>
  </r>
  <r>
    <n v="46"/>
    <s v="male"/>
    <n v="22.3"/>
    <n v="0"/>
    <s v="no"/>
    <x v="0"/>
    <n v="7147.1049999999996"/>
  </r>
  <r>
    <n v="28"/>
    <s v="female"/>
    <n v="28.88"/>
    <n v="1"/>
    <s v="no"/>
    <x v="3"/>
    <n v="4337.7352000000001"/>
  </r>
  <r>
    <n v="59"/>
    <s v="male"/>
    <n v="26.4"/>
    <n v="0"/>
    <s v="no"/>
    <x v="1"/>
    <n v="11743.299000000001"/>
  </r>
  <r>
    <n v="35"/>
    <s v="male"/>
    <n v="27.74"/>
    <n v="2"/>
    <s v="yes"/>
    <x v="3"/>
    <n v="20984.0936"/>
  </r>
  <r>
    <n v="63"/>
    <s v="female"/>
    <n v="31.8"/>
    <n v="0"/>
    <s v="no"/>
    <x v="0"/>
    <n v="13880.949000000001"/>
  </r>
  <r>
    <n v="40"/>
    <s v="male"/>
    <n v="41.23"/>
    <n v="1"/>
    <s v="no"/>
    <x v="3"/>
    <n v="6610.1097"/>
  </r>
  <r>
    <n v="20"/>
    <s v="male"/>
    <n v="33"/>
    <n v="1"/>
    <s v="no"/>
    <x v="0"/>
    <n v="1980.07"/>
  </r>
  <r>
    <n v="40"/>
    <s v="male"/>
    <n v="30.875"/>
    <n v="4"/>
    <s v="no"/>
    <x v="2"/>
    <n v="8162.7162500000004"/>
  </r>
  <r>
    <n v="24"/>
    <s v="male"/>
    <n v="28.5"/>
    <n v="2"/>
    <s v="no"/>
    <x v="2"/>
    <n v="3537.703"/>
  </r>
  <r>
    <n v="34"/>
    <s v="female"/>
    <n v="26.73"/>
    <n v="1"/>
    <s v="no"/>
    <x v="1"/>
    <n v="5002.7826999999997"/>
  </r>
  <r>
    <n v="45"/>
    <s v="female"/>
    <n v="30.9"/>
    <n v="2"/>
    <s v="no"/>
    <x v="0"/>
    <n v="8520.0259999999998"/>
  </r>
  <r>
    <n v="41"/>
    <s v="female"/>
    <n v="37.1"/>
    <n v="2"/>
    <s v="no"/>
    <x v="0"/>
    <n v="7371.7719999999999"/>
  </r>
  <r>
    <n v="53"/>
    <s v="female"/>
    <n v="26.6"/>
    <n v="0"/>
    <s v="no"/>
    <x v="2"/>
    <n v="10355.641"/>
  </r>
  <r>
    <n v="27"/>
    <s v="male"/>
    <n v="23.1"/>
    <n v="0"/>
    <s v="no"/>
    <x v="1"/>
    <n v="2483.7359999999999"/>
  </r>
  <r>
    <n v="26"/>
    <s v="female"/>
    <n v="29.92"/>
    <n v="1"/>
    <s v="no"/>
    <x v="1"/>
    <n v="3392.9767999999999"/>
  </r>
  <r>
    <n v="24"/>
    <s v="female"/>
    <n v="23.21"/>
    <n v="0"/>
    <s v="no"/>
    <x v="1"/>
    <n v="25081.76784"/>
  </r>
  <r>
    <n v="34"/>
    <s v="female"/>
    <n v="33.700000000000003"/>
    <n v="1"/>
    <s v="no"/>
    <x v="0"/>
    <n v="5012.4709999999995"/>
  </r>
  <r>
    <n v="53"/>
    <s v="female"/>
    <n v="33.25"/>
    <n v="0"/>
    <s v="no"/>
    <x v="3"/>
    <n v="10564.8845"/>
  </r>
  <r>
    <n v="32"/>
    <s v="male"/>
    <n v="30.8"/>
    <n v="3"/>
    <s v="no"/>
    <x v="0"/>
    <n v="5253.5240000000003"/>
  </r>
  <r>
    <n v="19"/>
    <s v="male"/>
    <n v="34.799999999999997"/>
    <n v="0"/>
    <s v="yes"/>
    <x v="0"/>
    <n v="34779.614999999998"/>
  </r>
  <r>
    <n v="42"/>
    <s v="male"/>
    <n v="24.64"/>
    <n v="0"/>
    <s v="yes"/>
    <x v="1"/>
    <n v="19515.5416"/>
  </r>
  <r>
    <n v="55"/>
    <s v="male"/>
    <n v="33.880000000000003"/>
    <n v="3"/>
    <s v="no"/>
    <x v="1"/>
    <n v="11987.1682"/>
  </r>
  <r>
    <n v="28"/>
    <s v="male"/>
    <n v="38.06"/>
    <n v="0"/>
    <s v="no"/>
    <x v="1"/>
    <n v="2689.4953999999998"/>
  </r>
  <r>
    <n v="58"/>
    <s v="female"/>
    <n v="41.91"/>
    <n v="0"/>
    <s v="no"/>
    <x v="1"/>
    <n v="24227.337240000001"/>
  </r>
  <r>
    <n v="41"/>
    <s v="female"/>
    <n v="31.635000000000002"/>
    <n v="1"/>
    <s v="no"/>
    <x v="3"/>
    <n v="7358.1756500000001"/>
  </r>
  <r>
    <n v="47"/>
    <s v="male"/>
    <n v="25.46"/>
    <n v="2"/>
    <s v="no"/>
    <x v="3"/>
    <n v="9225.2564000000002"/>
  </r>
  <r>
    <n v="42"/>
    <s v="female"/>
    <n v="36.195"/>
    <n v="1"/>
    <s v="no"/>
    <x v="2"/>
    <n v="7443.6430499999997"/>
  </r>
  <r>
    <n v="59"/>
    <s v="female"/>
    <n v="27.83"/>
    <n v="3"/>
    <s v="no"/>
    <x v="1"/>
    <n v="14001.286700000001"/>
  </r>
  <r>
    <n v="19"/>
    <s v="female"/>
    <n v="17.8"/>
    <n v="0"/>
    <s v="no"/>
    <x v="0"/>
    <n v="1727.7850000000001"/>
  </r>
  <r>
    <n v="59"/>
    <s v="male"/>
    <n v="27.5"/>
    <n v="1"/>
    <s v="no"/>
    <x v="0"/>
    <n v="12333.828"/>
  </r>
  <r>
    <n v="39"/>
    <s v="male"/>
    <n v="24.51"/>
    <n v="2"/>
    <s v="no"/>
    <x v="2"/>
    <n v="6710.1918999999998"/>
  </r>
  <r>
    <n v="40"/>
    <s v="female"/>
    <n v="22.22"/>
    <n v="2"/>
    <s v="yes"/>
    <x v="1"/>
    <n v="19444.265800000001"/>
  </r>
  <r>
    <n v="18"/>
    <s v="female"/>
    <n v="26.73"/>
    <n v="0"/>
    <s v="no"/>
    <x v="1"/>
    <n v="1615.7666999999999"/>
  </r>
  <r>
    <n v="31"/>
    <s v="male"/>
    <n v="38.39"/>
    <n v="2"/>
    <s v="no"/>
    <x v="1"/>
    <n v="4463.2051000000001"/>
  </r>
  <r>
    <n v="19"/>
    <s v="male"/>
    <n v="29.07"/>
    <n v="0"/>
    <s v="yes"/>
    <x v="2"/>
    <n v="17352.6803"/>
  </r>
  <r>
    <n v="44"/>
    <s v="male"/>
    <n v="38.06"/>
    <n v="1"/>
    <s v="no"/>
    <x v="1"/>
    <n v="7152.6714000000002"/>
  </r>
  <r>
    <n v="23"/>
    <s v="female"/>
    <n v="36.67"/>
    <n v="2"/>
    <s v="yes"/>
    <x v="3"/>
    <n v="38511.628299999997"/>
  </r>
  <r>
    <n v="33"/>
    <s v="female"/>
    <n v="22.135000000000002"/>
    <n v="1"/>
    <s v="no"/>
    <x v="3"/>
    <n v="5354.0746499999996"/>
  </r>
  <r>
    <n v="55"/>
    <s v="female"/>
    <n v="26.8"/>
    <n v="1"/>
    <s v="no"/>
    <x v="0"/>
    <n v="35160.134570000002"/>
  </r>
  <r>
    <n v="40"/>
    <s v="male"/>
    <n v="35.299999999999997"/>
    <n v="3"/>
    <s v="no"/>
    <x v="0"/>
    <n v="7196.8670000000002"/>
  </r>
  <r>
    <n v="63"/>
    <s v="female"/>
    <n v="27.74"/>
    <n v="0"/>
    <s v="yes"/>
    <x v="3"/>
    <n v="29523.1656"/>
  </r>
  <r>
    <n v="54"/>
    <s v="male"/>
    <n v="30.02"/>
    <n v="0"/>
    <s v="no"/>
    <x v="2"/>
    <n v="24476.478510000001"/>
  </r>
  <r>
    <n v="60"/>
    <s v="female"/>
    <n v="38.06"/>
    <n v="0"/>
    <s v="no"/>
    <x v="1"/>
    <n v="12648.7034"/>
  </r>
  <r>
    <n v="24"/>
    <s v="male"/>
    <n v="35.86"/>
    <n v="0"/>
    <s v="no"/>
    <x v="1"/>
    <n v="1986.9333999999999"/>
  </r>
  <r>
    <n v="19"/>
    <s v="male"/>
    <n v="20.9"/>
    <n v="1"/>
    <s v="no"/>
    <x v="0"/>
    <n v="1832.0940000000001"/>
  </r>
  <r>
    <n v="29"/>
    <s v="male"/>
    <n v="28.975000000000001"/>
    <n v="1"/>
    <s v="no"/>
    <x v="3"/>
    <n v="4040.55825"/>
  </r>
  <r>
    <n v="18"/>
    <s v="male"/>
    <n v="17.29"/>
    <n v="2"/>
    <s v="yes"/>
    <x v="3"/>
    <n v="12829.455099999999"/>
  </r>
  <r>
    <n v="63"/>
    <s v="female"/>
    <n v="32.200000000000003"/>
    <n v="2"/>
    <s v="yes"/>
    <x v="0"/>
    <n v="47305.305"/>
  </r>
  <r>
    <n v="54"/>
    <s v="male"/>
    <n v="34.21"/>
    <n v="2"/>
    <s v="yes"/>
    <x v="1"/>
    <n v="44260.749900000003"/>
  </r>
  <r>
    <n v="27"/>
    <s v="male"/>
    <n v="30.3"/>
    <n v="3"/>
    <s v="no"/>
    <x v="0"/>
    <n v="4260.7439999999997"/>
  </r>
  <r>
    <n v="50"/>
    <s v="male"/>
    <n v="31.824999999999999"/>
    <n v="0"/>
    <s v="yes"/>
    <x v="3"/>
    <n v="41097.161749999999"/>
  </r>
  <r>
    <n v="55"/>
    <s v="female"/>
    <n v="25.364999999999998"/>
    <n v="3"/>
    <s v="no"/>
    <x v="3"/>
    <n v="13047.332350000001"/>
  </r>
  <r>
    <n v="56"/>
    <s v="male"/>
    <n v="33.630000000000003"/>
    <n v="0"/>
    <s v="yes"/>
    <x v="2"/>
    <n v="43921.183700000001"/>
  </r>
  <r>
    <n v="38"/>
    <s v="female"/>
    <n v="40.15"/>
    <n v="0"/>
    <s v="no"/>
    <x v="1"/>
    <n v="5400.9804999999997"/>
  </r>
  <r>
    <n v="51"/>
    <s v="male"/>
    <n v="24.414999999999999"/>
    <n v="4"/>
    <s v="no"/>
    <x v="2"/>
    <n v="11520.099850000001"/>
  </r>
  <r>
    <n v="19"/>
    <s v="male"/>
    <n v="31.92"/>
    <n v="0"/>
    <s v="yes"/>
    <x v="2"/>
    <n v="33750.291799999999"/>
  </r>
  <r>
    <n v="58"/>
    <s v="female"/>
    <n v="25.2"/>
    <n v="0"/>
    <s v="no"/>
    <x v="0"/>
    <n v="11837.16"/>
  </r>
  <r>
    <n v="20"/>
    <s v="female"/>
    <n v="26.84"/>
    <n v="1"/>
    <s v="yes"/>
    <x v="1"/>
    <n v="17085.267599999999"/>
  </r>
  <r>
    <n v="52"/>
    <s v="male"/>
    <n v="24.32"/>
    <n v="3"/>
    <s v="yes"/>
    <x v="3"/>
    <n v="24869.836800000001"/>
  </r>
  <r>
    <n v="19"/>
    <s v="male"/>
    <n v="36.954999999999998"/>
    <n v="0"/>
    <s v="yes"/>
    <x v="2"/>
    <n v="36219.405449999998"/>
  </r>
  <r>
    <n v="53"/>
    <s v="female"/>
    <n v="38.06"/>
    <n v="3"/>
    <s v="no"/>
    <x v="1"/>
    <n v="20462.997660000001"/>
  </r>
  <r>
    <n v="46"/>
    <s v="male"/>
    <n v="42.35"/>
    <n v="3"/>
    <s v="yes"/>
    <x v="1"/>
    <n v="46151.124499999998"/>
  </r>
  <r>
    <n v="40"/>
    <s v="male"/>
    <n v="19.8"/>
    <n v="1"/>
    <s v="yes"/>
    <x v="1"/>
    <n v="17179.522000000001"/>
  </r>
  <r>
    <n v="59"/>
    <s v="female"/>
    <n v="32.395000000000003"/>
    <n v="3"/>
    <s v="no"/>
    <x v="3"/>
    <n v="14590.63205"/>
  </r>
  <r>
    <n v="45"/>
    <s v="male"/>
    <n v="30.2"/>
    <n v="1"/>
    <s v="no"/>
    <x v="0"/>
    <n v="7441.0529999999999"/>
  </r>
  <r>
    <n v="49"/>
    <s v="male"/>
    <n v="25.84"/>
    <n v="1"/>
    <s v="no"/>
    <x v="3"/>
    <n v="9282.4806000000008"/>
  </r>
  <r>
    <n v="18"/>
    <s v="male"/>
    <n v="29.37"/>
    <n v="1"/>
    <s v="no"/>
    <x v="1"/>
    <n v="1719.4363000000001"/>
  </r>
  <r>
    <n v="50"/>
    <s v="male"/>
    <n v="34.200000000000003"/>
    <n v="2"/>
    <s v="yes"/>
    <x v="0"/>
    <n v="42856.838000000003"/>
  </r>
  <r>
    <n v="41"/>
    <s v="male"/>
    <n v="37.049999999999997"/>
    <n v="2"/>
    <s v="no"/>
    <x v="2"/>
    <n v="7265.7025000000003"/>
  </r>
  <r>
    <n v="50"/>
    <s v="male"/>
    <n v="27.454999999999998"/>
    <n v="1"/>
    <s v="no"/>
    <x v="3"/>
    <n v="9617.6624499999998"/>
  </r>
  <r>
    <n v="25"/>
    <s v="male"/>
    <n v="27.55"/>
    <n v="0"/>
    <s v="no"/>
    <x v="2"/>
    <n v="2523.1695"/>
  </r>
  <r>
    <n v="47"/>
    <s v="female"/>
    <n v="26.6"/>
    <n v="2"/>
    <s v="no"/>
    <x v="3"/>
    <n v="9715.8410000000003"/>
  </r>
  <r>
    <n v="19"/>
    <s v="male"/>
    <n v="20.614999999999998"/>
    <n v="2"/>
    <s v="no"/>
    <x v="2"/>
    <n v="2803.69785"/>
  </r>
  <r>
    <n v="22"/>
    <s v="female"/>
    <n v="24.3"/>
    <n v="0"/>
    <s v="no"/>
    <x v="0"/>
    <n v="2150.4690000000001"/>
  </r>
  <r>
    <n v="59"/>
    <s v="male"/>
    <n v="31.79"/>
    <n v="2"/>
    <s v="no"/>
    <x v="1"/>
    <n v="12928.7911"/>
  </r>
  <r>
    <n v="51"/>
    <s v="female"/>
    <n v="21.56"/>
    <n v="1"/>
    <s v="no"/>
    <x v="1"/>
    <n v="9855.1314000000002"/>
  </r>
  <r>
    <n v="40"/>
    <s v="female"/>
    <n v="28.12"/>
    <n v="1"/>
    <s v="yes"/>
    <x v="3"/>
    <n v="22331.566800000001"/>
  </r>
  <r>
    <n v="54"/>
    <s v="male"/>
    <n v="40.564999999999998"/>
    <n v="3"/>
    <s v="yes"/>
    <x v="3"/>
    <n v="48549.178350000002"/>
  </r>
  <r>
    <n v="30"/>
    <s v="male"/>
    <n v="27.645"/>
    <n v="1"/>
    <s v="no"/>
    <x v="3"/>
    <n v="4237.12655"/>
  </r>
  <r>
    <n v="55"/>
    <s v="female"/>
    <n v="32.395000000000003"/>
    <n v="1"/>
    <s v="no"/>
    <x v="3"/>
    <n v="11879.10405"/>
  </r>
  <r>
    <n v="52"/>
    <s v="female"/>
    <n v="31.2"/>
    <n v="0"/>
    <s v="no"/>
    <x v="0"/>
    <n v="9625.92"/>
  </r>
  <r>
    <n v="46"/>
    <s v="male"/>
    <n v="26.62"/>
    <n v="1"/>
    <s v="no"/>
    <x v="1"/>
    <n v="7742.1098000000002"/>
  </r>
  <r>
    <n v="46"/>
    <s v="female"/>
    <n v="48.07"/>
    <n v="2"/>
    <s v="no"/>
    <x v="3"/>
    <n v="9432.9253000000008"/>
  </r>
  <r>
    <n v="63"/>
    <s v="female"/>
    <n v="26.22"/>
    <n v="0"/>
    <s v="no"/>
    <x v="2"/>
    <n v="14256.192800000001"/>
  </r>
  <r>
    <n v="59"/>
    <s v="female"/>
    <n v="36.765000000000001"/>
    <n v="1"/>
    <s v="yes"/>
    <x v="3"/>
    <n v="47896.79135"/>
  </r>
  <r>
    <n v="52"/>
    <s v="male"/>
    <n v="26.4"/>
    <n v="3"/>
    <s v="no"/>
    <x v="1"/>
    <n v="25992.821039999999"/>
  </r>
  <r>
    <n v="28"/>
    <s v="female"/>
    <n v="33.4"/>
    <n v="0"/>
    <s v="no"/>
    <x v="0"/>
    <n v="3172.018"/>
  </r>
  <r>
    <n v="29"/>
    <s v="male"/>
    <n v="29.64"/>
    <n v="1"/>
    <s v="no"/>
    <x v="3"/>
    <n v="20277.807509999999"/>
  </r>
  <r>
    <n v="25"/>
    <s v="male"/>
    <n v="45.54"/>
    <n v="2"/>
    <s v="yes"/>
    <x v="1"/>
    <n v="42112.2356"/>
  </r>
  <r>
    <n v="22"/>
    <s v="female"/>
    <n v="28.82"/>
    <n v="0"/>
    <s v="no"/>
    <x v="1"/>
    <n v="2156.7518"/>
  </r>
  <r>
    <n v="25"/>
    <s v="male"/>
    <n v="26.8"/>
    <n v="3"/>
    <s v="no"/>
    <x v="0"/>
    <n v="3906.127"/>
  </r>
  <r>
    <n v="18"/>
    <s v="male"/>
    <n v="22.99"/>
    <n v="0"/>
    <s v="no"/>
    <x v="3"/>
    <n v="1704.5681"/>
  </r>
  <r>
    <n v="19"/>
    <s v="male"/>
    <n v="27.7"/>
    <n v="0"/>
    <s v="yes"/>
    <x v="0"/>
    <n v="16297.846"/>
  </r>
  <r>
    <n v="47"/>
    <s v="male"/>
    <n v="25.41"/>
    <n v="1"/>
    <s v="yes"/>
    <x v="1"/>
    <n v="21978.676899999999"/>
  </r>
  <r>
    <n v="31"/>
    <s v="male"/>
    <n v="34.39"/>
    <n v="3"/>
    <s v="yes"/>
    <x v="2"/>
    <n v="38746.355100000001"/>
  </r>
  <r>
    <n v="48"/>
    <s v="female"/>
    <n v="28.88"/>
    <n v="1"/>
    <s v="no"/>
    <x v="2"/>
    <n v="9249.4951999999994"/>
  </r>
  <r>
    <n v="36"/>
    <s v="male"/>
    <n v="27.55"/>
    <n v="3"/>
    <s v="no"/>
    <x v="3"/>
    <n v="6746.7425000000003"/>
  </r>
  <r>
    <n v="53"/>
    <s v="female"/>
    <n v="22.61"/>
    <n v="3"/>
    <s v="yes"/>
    <x v="3"/>
    <n v="24873.384900000001"/>
  </r>
  <r>
    <n v="56"/>
    <s v="female"/>
    <n v="37.51"/>
    <n v="2"/>
    <s v="no"/>
    <x v="1"/>
    <n v="12265.5069"/>
  </r>
  <r>
    <n v="28"/>
    <s v="female"/>
    <n v="33"/>
    <n v="2"/>
    <s v="no"/>
    <x v="1"/>
    <n v="4349.4620000000004"/>
  </r>
  <r>
    <n v="57"/>
    <s v="female"/>
    <n v="38"/>
    <n v="2"/>
    <s v="no"/>
    <x v="0"/>
    <n v="12646.207"/>
  </r>
  <r>
    <n v="29"/>
    <s v="male"/>
    <n v="33.344999999999999"/>
    <n v="2"/>
    <s v="no"/>
    <x v="2"/>
    <n v="19442.353500000001"/>
  </r>
  <r>
    <n v="28"/>
    <s v="female"/>
    <n v="27.5"/>
    <n v="2"/>
    <s v="no"/>
    <x v="0"/>
    <n v="20177.671129999999"/>
  </r>
  <r>
    <n v="30"/>
    <s v="female"/>
    <n v="33.33"/>
    <n v="1"/>
    <s v="no"/>
    <x v="1"/>
    <n v="4151.0286999999998"/>
  </r>
  <r>
    <n v="58"/>
    <s v="male"/>
    <n v="34.865000000000002"/>
    <n v="0"/>
    <s v="no"/>
    <x v="3"/>
    <n v="11944.594349999999"/>
  </r>
  <r>
    <n v="41"/>
    <s v="female"/>
    <n v="33.06"/>
    <n v="2"/>
    <s v="no"/>
    <x v="2"/>
    <n v="7749.1563999999998"/>
  </r>
  <r>
    <n v="50"/>
    <s v="male"/>
    <n v="26.6"/>
    <n v="0"/>
    <s v="no"/>
    <x v="0"/>
    <n v="8444.4740000000002"/>
  </r>
  <r>
    <n v="19"/>
    <s v="female"/>
    <n v="24.7"/>
    <n v="0"/>
    <s v="no"/>
    <x v="0"/>
    <n v="1737.376"/>
  </r>
  <r>
    <n v="43"/>
    <s v="male"/>
    <n v="35.97"/>
    <n v="3"/>
    <s v="yes"/>
    <x v="1"/>
    <n v="42124.515299999999"/>
  </r>
  <r>
    <n v="49"/>
    <s v="male"/>
    <n v="35.86"/>
    <n v="0"/>
    <s v="no"/>
    <x v="1"/>
    <n v="8124.4084000000003"/>
  </r>
  <r>
    <n v="27"/>
    <s v="female"/>
    <n v="31.4"/>
    <n v="0"/>
    <s v="yes"/>
    <x v="0"/>
    <n v="34838.873"/>
  </r>
  <r>
    <n v="52"/>
    <s v="male"/>
    <n v="33.25"/>
    <n v="0"/>
    <s v="no"/>
    <x v="3"/>
    <n v="9722.7695000000003"/>
  </r>
  <r>
    <n v="50"/>
    <s v="male"/>
    <n v="32.204999999999998"/>
    <n v="0"/>
    <s v="no"/>
    <x v="2"/>
    <n v="8835.2649500000007"/>
  </r>
  <r>
    <n v="54"/>
    <s v="male"/>
    <n v="32.774999999999999"/>
    <n v="0"/>
    <s v="no"/>
    <x v="3"/>
    <n v="10435.06525"/>
  </r>
  <r>
    <n v="44"/>
    <s v="female"/>
    <n v="27.645"/>
    <n v="0"/>
    <s v="no"/>
    <x v="2"/>
    <n v="7421.1945500000002"/>
  </r>
  <r>
    <n v="32"/>
    <s v="male"/>
    <n v="37.335000000000001"/>
    <n v="1"/>
    <s v="no"/>
    <x v="3"/>
    <n v="4667.6076499999999"/>
  </r>
  <r>
    <n v="34"/>
    <s v="male"/>
    <n v="25.27"/>
    <n v="1"/>
    <s v="no"/>
    <x v="2"/>
    <n v="4894.7533000000003"/>
  </r>
  <r>
    <n v="26"/>
    <s v="female"/>
    <n v="29.64"/>
    <n v="4"/>
    <s v="no"/>
    <x v="3"/>
    <n v="24671.663339999999"/>
  </r>
  <r>
    <n v="34"/>
    <s v="male"/>
    <n v="30.8"/>
    <n v="0"/>
    <s v="yes"/>
    <x v="0"/>
    <n v="35491.64"/>
  </r>
  <r>
    <n v="57"/>
    <s v="male"/>
    <n v="40.945"/>
    <n v="0"/>
    <s v="no"/>
    <x v="3"/>
    <n v="11566.30055"/>
  </r>
  <r>
    <n v="29"/>
    <s v="male"/>
    <n v="27.2"/>
    <n v="0"/>
    <s v="no"/>
    <x v="0"/>
    <n v="2866.0909999999999"/>
  </r>
  <r>
    <n v="40"/>
    <s v="male"/>
    <n v="34.104999999999997"/>
    <n v="1"/>
    <s v="no"/>
    <x v="3"/>
    <n v="6600.2059499999996"/>
  </r>
  <r>
    <n v="27"/>
    <s v="female"/>
    <n v="23.21"/>
    <n v="1"/>
    <s v="no"/>
    <x v="1"/>
    <n v="3561.8888999999999"/>
  </r>
  <r>
    <n v="45"/>
    <s v="male"/>
    <n v="36.479999999999997"/>
    <n v="2"/>
    <s v="yes"/>
    <x v="2"/>
    <n v="42760.502200000003"/>
  </r>
  <r>
    <n v="64"/>
    <s v="female"/>
    <n v="33.799999999999997"/>
    <n v="1"/>
    <s v="yes"/>
    <x v="0"/>
    <n v="47928.03"/>
  </r>
  <r>
    <n v="52"/>
    <s v="male"/>
    <n v="36.700000000000003"/>
    <n v="0"/>
    <s v="no"/>
    <x v="0"/>
    <n v="9144.5650000000005"/>
  </r>
  <r>
    <n v="61"/>
    <s v="female"/>
    <n v="36.384999999999998"/>
    <n v="1"/>
    <s v="yes"/>
    <x v="3"/>
    <n v="48517.563150000002"/>
  </r>
  <r>
    <n v="52"/>
    <s v="male"/>
    <n v="27.36"/>
    <n v="0"/>
    <s v="yes"/>
    <x v="2"/>
    <n v="24393.6224"/>
  </r>
  <r>
    <n v="61"/>
    <s v="female"/>
    <n v="31.16"/>
    <n v="0"/>
    <s v="no"/>
    <x v="2"/>
    <n v="13429.035400000001"/>
  </r>
  <r>
    <n v="56"/>
    <s v="female"/>
    <n v="28.785"/>
    <n v="0"/>
    <s v="no"/>
    <x v="3"/>
    <n v="11658.379150000001"/>
  </r>
  <r>
    <n v="43"/>
    <s v="female"/>
    <n v="35.72"/>
    <n v="2"/>
    <s v="no"/>
    <x v="3"/>
    <n v="19144.576519999999"/>
  </r>
  <r>
    <n v="64"/>
    <s v="male"/>
    <n v="34.5"/>
    <n v="0"/>
    <s v="no"/>
    <x v="0"/>
    <n v="13822.803"/>
  </r>
  <r>
    <n v="60"/>
    <s v="male"/>
    <n v="25.74"/>
    <n v="0"/>
    <s v="no"/>
    <x v="1"/>
    <n v="12142.578600000001"/>
  </r>
  <r>
    <n v="62"/>
    <s v="male"/>
    <n v="27.55"/>
    <n v="1"/>
    <s v="no"/>
    <x v="2"/>
    <n v="13937.666499999999"/>
  </r>
  <r>
    <n v="50"/>
    <s v="male"/>
    <n v="32.299999999999997"/>
    <n v="1"/>
    <s v="yes"/>
    <x v="3"/>
    <n v="41919.097000000002"/>
  </r>
  <r>
    <n v="46"/>
    <s v="female"/>
    <n v="27.72"/>
    <n v="1"/>
    <s v="no"/>
    <x v="1"/>
    <n v="8232.6388000000006"/>
  </r>
  <r>
    <n v="24"/>
    <s v="female"/>
    <n v="27.6"/>
    <n v="0"/>
    <s v="no"/>
    <x v="0"/>
    <n v="18955.220170000001"/>
  </r>
  <r>
    <n v="62"/>
    <s v="male"/>
    <n v="30.02"/>
    <n v="0"/>
    <s v="no"/>
    <x v="2"/>
    <n v="13352.0998"/>
  </r>
  <r>
    <n v="60"/>
    <s v="female"/>
    <n v="27.55"/>
    <n v="0"/>
    <s v="no"/>
    <x v="3"/>
    <n v="13217.094499999999"/>
  </r>
  <r>
    <n v="63"/>
    <s v="male"/>
    <n v="36.765000000000001"/>
    <n v="0"/>
    <s v="no"/>
    <x v="3"/>
    <n v="13981.850350000001"/>
  </r>
  <r>
    <n v="49"/>
    <s v="female"/>
    <n v="41.47"/>
    <n v="4"/>
    <s v="no"/>
    <x v="1"/>
    <n v="10977.2063"/>
  </r>
  <r>
    <n v="34"/>
    <s v="female"/>
    <n v="29.26"/>
    <n v="3"/>
    <s v="no"/>
    <x v="1"/>
    <n v="6184.2993999999999"/>
  </r>
  <r>
    <n v="33"/>
    <s v="male"/>
    <n v="35.75"/>
    <n v="2"/>
    <s v="no"/>
    <x v="1"/>
    <n v="4889.9994999999999"/>
  </r>
  <r>
    <n v="46"/>
    <s v="male"/>
    <n v="33.344999999999999"/>
    <n v="1"/>
    <s v="no"/>
    <x v="3"/>
    <n v="8334.4575499999992"/>
  </r>
  <r>
    <n v="36"/>
    <s v="female"/>
    <n v="29.92"/>
    <n v="1"/>
    <s v="no"/>
    <x v="1"/>
    <n v="5478.0367999999999"/>
  </r>
  <r>
    <n v="19"/>
    <s v="male"/>
    <n v="27.835000000000001"/>
    <n v="0"/>
    <s v="no"/>
    <x v="2"/>
    <n v="1635.7336499999999"/>
  </r>
  <r>
    <n v="57"/>
    <s v="female"/>
    <n v="23.18"/>
    <n v="0"/>
    <s v="no"/>
    <x v="2"/>
    <n v="11830.6072"/>
  </r>
  <r>
    <n v="50"/>
    <s v="female"/>
    <n v="25.6"/>
    <n v="0"/>
    <s v="no"/>
    <x v="0"/>
    <n v="8932.0840000000007"/>
  </r>
  <r>
    <n v="30"/>
    <s v="female"/>
    <n v="27.7"/>
    <n v="0"/>
    <s v="no"/>
    <x v="0"/>
    <n v="3554.203"/>
  </r>
  <r>
    <n v="33"/>
    <s v="male"/>
    <n v="35.244999999999997"/>
    <n v="0"/>
    <s v="no"/>
    <x v="3"/>
    <n v="12404.8791"/>
  </r>
  <r>
    <n v="18"/>
    <s v="female"/>
    <n v="38.28"/>
    <n v="0"/>
    <s v="no"/>
    <x v="1"/>
    <n v="14133.03775"/>
  </r>
  <r>
    <n v="46"/>
    <s v="male"/>
    <n v="27.6"/>
    <n v="0"/>
    <s v="no"/>
    <x v="0"/>
    <n v="24603.04837"/>
  </r>
  <r>
    <n v="46"/>
    <s v="male"/>
    <n v="43.89"/>
    <n v="3"/>
    <s v="no"/>
    <x v="1"/>
    <n v="8944.1151000000009"/>
  </r>
  <r>
    <n v="47"/>
    <s v="male"/>
    <n v="29.83"/>
    <n v="3"/>
    <s v="no"/>
    <x v="2"/>
    <n v="9620.3307000000004"/>
  </r>
  <r>
    <n v="23"/>
    <s v="male"/>
    <n v="41.91"/>
    <n v="0"/>
    <s v="no"/>
    <x v="1"/>
    <n v="1837.2819"/>
  </r>
  <r>
    <n v="18"/>
    <s v="female"/>
    <n v="20.79"/>
    <n v="0"/>
    <s v="no"/>
    <x v="1"/>
    <n v="1607.5101"/>
  </r>
  <r>
    <n v="48"/>
    <s v="female"/>
    <n v="32.299999999999997"/>
    <n v="2"/>
    <s v="no"/>
    <x v="3"/>
    <n v="10043.249"/>
  </r>
  <r>
    <n v="35"/>
    <s v="male"/>
    <n v="30.5"/>
    <n v="1"/>
    <s v="no"/>
    <x v="0"/>
    <n v="4751.07"/>
  </r>
  <r>
    <n v="19"/>
    <s v="female"/>
    <n v="21.7"/>
    <n v="0"/>
    <s v="yes"/>
    <x v="0"/>
    <n v="13844.505999999999"/>
  </r>
  <r>
    <n v="21"/>
    <s v="female"/>
    <n v="26.4"/>
    <n v="1"/>
    <s v="no"/>
    <x v="0"/>
    <n v="2597.779"/>
  </r>
  <r>
    <n v="21"/>
    <s v="female"/>
    <n v="21.89"/>
    <n v="2"/>
    <s v="no"/>
    <x v="1"/>
    <n v="3180.5101"/>
  </r>
  <r>
    <n v="49"/>
    <s v="female"/>
    <n v="30.78"/>
    <n v="1"/>
    <s v="no"/>
    <x v="3"/>
    <n v="9778.3472000000002"/>
  </r>
  <r>
    <n v="56"/>
    <s v="female"/>
    <n v="32.299999999999997"/>
    <n v="3"/>
    <s v="no"/>
    <x v="3"/>
    <n v="13430.264999999999"/>
  </r>
  <r>
    <n v="42"/>
    <s v="female"/>
    <n v="24.984999999999999"/>
    <n v="2"/>
    <s v="no"/>
    <x v="2"/>
    <n v="8017.0611500000005"/>
  </r>
  <r>
    <n v="44"/>
    <s v="male"/>
    <n v="32.015000000000001"/>
    <n v="2"/>
    <s v="no"/>
    <x v="2"/>
    <n v="8116.2688500000004"/>
  </r>
  <r>
    <n v="18"/>
    <s v="male"/>
    <n v="30.4"/>
    <n v="3"/>
    <s v="no"/>
    <x v="3"/>
    <n v="3481.8679999999999"/>
  </r>
  <r>
    <n v="61"/>
    <s v="female"/>
    <n v="21.09"/>
    <n v="0"/>
    <s v="no"/>
    <x v="2"/>
    <n v="13415.0381"/>
  </r>
  <r>
    <n v="57"/>
    <s v="female"/>
    <n v="22.23"/>
    <n v="0"/>
    <s v="no"/>
    <x v="3"/>
    <n v="12029.286700000001"/>
  </r>
  <r>
    <n v="42"/>
    <s v="female"/>
    <n v="33.155000000000001"/>
    <n v="1"/>
    <s v="no"/>
    <x v="3"/>
    <n v="7639.4174499999999"/>
  </r>
  <r>
    <n v="26"/>
    <s v="male"/>
    <n v="32.9"/>
    <n v="2"/>
    <s v="yes"/>
    <x v="0"/>
    <n v="36085.218999999997"/>
  </r>
  <r>
    <n v="20"/>
    <s v="male"/>
    <n v="33.33"/>
    <n v="0"/>
    <s v="no"/>
    <x v="1"/>
    <n v="1391.5287000000001"/>
  </r>
  <r>
    <n v="23"/>
    <s v="female"/>
    <n v="28.31"/>
    <n v="0"/>
    <s v="yes"/>
    <x v="2"/>
    <n v="18033.9679"/>
  </r>
  <r>
    <n v="39"/>
    <s v="female"/>
    <n v="24.89"/>
    <n v="3"/>
    <s v="yes"/>
    <x v="3"/>
    <n v="21659.930100000001"/>
  </r>
  <r>
    <n v="24"/>
    <s v="male"/>
    <n v="40.15"/>
    <n v="0"/>
    <s v="yes"/>
    <x v="1"/>
    <n v="38126.246500000001"/>
  </r>
  <r>
    <n v="64"/>
    <s v="female"/>
    <n v="30.114999999999998"/>
    <n v="3"/>
    <s v="no"/>
    <x v="2"/>
    <n v="16455.707849999999"/>
  </r>
  <r>
    <n v="62"/>
    <s v="male"/>
    <n v="31.46"/>
    <n v="1"/>
    <s v="no"/>
    <x v="1"/>
    <n v="27000.98473"/>
  </r>
  <r>
    <n v="27"/>
    <s v="female"/>
    <n v="17.954999999999998"/>
    <n v="2"/>
    <s v="yes"/>
    <x v="3"/>
    <n v="15006.579449999999"/>
  </r>
  <r>
    <n v="55"/>
    <s v="male"/>
    <n v="30.684999999999999"/>
    <n v="0"/>
    <s v="yes"/>
    <x v="3"/>
    <n v="42303.692150000003"/>
  </r>
  <r>
    <n v="55"/>
    <s v="male"/>
    <n v="33"/>
    <n v="0"/>
    <s v="no"/>
    <x v="1"/>
    <n v="20781.48892"/>
  </r>
  <r>
    <n v="35"/>
    <s v="female"/>
    <n v="43.34"/>
    <n v="2"/>
    <s v="no"/>
    <x v="1"/>
    <n v="5846.9175999999998"/>
  </r>
  <r>
    <n v="44"/>
    <s v="male"/>
    <n v="22.135000000000002"/>
    <n v="2"/>
    <s v="no"/>
    <x v="3"/>
    <n v="8302.5356499999998"/>
  </r>
  <r>
    <n v="19"/>
    <s v="male"/>
    <n v="34.4"/>
    <n v="0"/>
    <s v="no"/>
    <x v="0"/>
    <n v="1261.8589999999999"/>
  </r>
  <r>
    <n v="58"/>
    <s v="female"/>
    <n v="39.049999999999997"/>
    <n v="0"/>
    <s v="no"/>
    <x v="1"/>
    <n v="11856.4115"/>
  </r>
  <r>
    <n v="50"/>
    <s v="male"/>
    <n v="25.364999999999998"/>
    <n v="2"/>
    <s v="no"/>
    <x v="2"/>
    <n v="30284.642940000002"/>
  </r>
  <r>
    <n v="26"/>
    <s v="female"/>
    <n v="22.61"/>
    <n v="0"/>
    <s v="no"/>
    <x v="2"/>
    <n v="3176.8159000000001"/>
  </r>
  <r>
    <n v="24"/>
    <s v="female"/>
    <n v="30.21"/>
    <n v="3"/>
    <s v="no"/>
    <x v="2"/>
    <n v="4618.0798999999997"/>
  </r>
  <r>
    <n v="48"/>
    <s v="male"/>
    <n v="35.625"/>
    <n v="4"/>
    <s v="no"/>
    <x v="3"/>
    <n v="10736.87075"/>
  </r>
  <r>
    <n v="19"/>
    <s v="female"/>
    <n v="37.43"/>
    <n v="0"/>
    <s v="no"/>
    <x v="2"/>
    <n v="2138.0707000000002"/>
  </r>
  <r>
    <n v="48"/>
    <s v="male"/>
    <n v="31.445"/>
    <n v="1"/>
    <s v="no"/>
    <x v="3"/>
    <n v="8964.0605500000001"/>
  </r>
  <r>
    <n v="49"/>
    <s v="male"/>
    <n v="31.35"/>
    <n v="1"/>
    <s v="no"/>
    <x v="3"/>
    <n v="9290.1394999999993"/>
  </r>
  <r>
    <n v="46"/>
    <s v="female"/>
    <n v="32.299999999999997"/>
    <n v="2"/>
    <s v="no"/>
    <x v="3"/>
    <n v="9411.0049999999992"/>
  </r>
  <r>
    <n v="46"/>
    <s v="male"/>
    <n v="19.855"/>
    <n v="0"/>
    <s v="no"/>
    <x v="2"/>
    <n v="7526.7064499999997"/>
  </r>
  <r>
    <n v="43"/>
    <s v="female"/>
    <n v="34.4"/>
    <n v="3"/>
    <s v="no"/>
    <x v="0"/>
    <n v="8522.0030000000006"/>
  </r>
  <r>
    <n v="21"/>
    <s v="male"/>
    <n v="31.02"/>
    <n v="0"/>
    <s v="no"/>
    <x v="1"/>
    <n v="16586.49771"/>
  </r>
  <r>
    <n v="64"/>
    <s v="male"/>
    <n v="25.6"/>
    <n v="2"/>
    <s v="no"/>
    <x v="0"/>
    <n v="14988.432000000001"/>
  </r>
  <r>
    <n v="18"/>
    <s v="female"/>
    <n v="38.17"/>
    <n v="0"/>
    <s v="no"/>
    <x v="1"/>
    <n v="1631.6683"/>
  </r>
  <r>
    <n v="51"/>
    <s v="female"/>
    <n v="20.6"/>
    <n v="0"/>
    <s v="no"/>
    <x v="0"/>
    <n v="9264.7970000000005"/>
  </r>
  <r>
    <n v="47"/>
    <s v="male"/>
    <n v="47.52"/>
    <n v="1"/>
    <s v="no"/>
    <x v="1"/>
    <n v="8083.9197999999997"/>
  </r>
  <r>
    <n v="64"/>
    <s v="female"/>
    <n v="32.965000000000003"/>
    <n v="0"/>
    <s v="no"/>
    <x v="2"/>
    <n v="14692.66935"/>
  </r>
  <r>
    <n v="49"/>
    <s v="male"/>
    <n v="32.299999999999997"/>
    <n v="3"/>
    <s v="no"/>
    <x v="2"/>
    <n v="10269.459999999999"/>
  </r>
  <r>
    <n v="31"/>
    <s v="male"/>
    <n v="20.399999999999999"/>
    <n v="0"/>
    <s v="no"/>
    <x v="0"/>
    <n v="3260.1990000000001"/>
  </r>
  <r>
    <n v="52"/>
    <s v="female"/>
    <n v="38.380000000000003"/>
    <n v="2"/>
    <s v="no"/>
    <x v="3"/>
    <n v="11396.9002"/>
  </r>
  <r>
    <n v="33"/>
    <s v="female"/>
    <n v="24.31"/>
    <n v="0"/>
    <s v="no"/>
    <x v="1"/>
    <n v="4185.0978999999998"/>
  </r>
  <r>
    <n v="47"/>
    <s v="female"/>
    <n v="23.6"/>
    <n v="1"/>
    <s v="no"/>
    <x v="0"/>
    <n v="8539.6710000000003"/>
  </r>
  <r>
    <n v="38"/>
    <s v="male"/>
    <n v="21.12"/>
    <n v="3"/>
    <s v="no"/>
    <x v="1"/>
    <n v="6652.5288"/>
  </r>
  <r>
    <n v="32"/>
    <s v="male"/>
    <n v="30.03"/>
    <n v="1"/>
    <s v="no"/>
    <x v="1"/>
    <n v="4074.4537"/>
  </r>
  <r>
    <n v="19"/>
    <s v="male"/>
    <n v="17.48"/>
    <n v="0"/>
    <s v="no"/>
    <x v="2"/>
    <n v="1621.3402000000001"/>
  </r>
  <r>
    <n v="44"/>
    <s v="female"/>
    <n v="20.234999999999999"/>
    <n v="1"/>
    <s v="yes"/>
    <x v="3"/>
    <n v="19594.809649999999"/>
  </r>
  <r>
    <n v="26"/>
    <s v="female"/>
    <n v="17.195"/>
    <n v="2"/>
    <s v="yes"/>
    <x v="3"/>
    <n v="14455.644050000001"/>
  </r>
  <r>
    <n v="25"/>
    <s v="male"/>
    <n v="23.9"/>
    <n v="5"/>
    <s v="no"/>
    <x v="0"/>
    <n v="5080.0959999999995"/>
  </r>
  <r>
    <n v="19"/>
    <s v="female"/>
    <n v="35.15"/>
    <n v="0"/>
    <s v="no"/>
    <x v="2"/>
    <n v="2134.9014999999999"/>
  </r>
  <r>
    <n v="43"/>
    <s v="female"/>
    <n v="35.64"/>
    <n v="1"/>
    <s v="no"/>
    <x v="1"/>
    <n v="7345.7266"/>
  </r>
  <r>
    <n v="52"/>
    <s v="male"/>
    <n v="34.1"/>
    <n v="0"/>
    <s v="no"/>
    <x v="1"/>
    <n v="9140.9509999999991"/>
  </r>
  <r>
    <n v="36"/>
    <s v="female"/>
    <n v="22.6"/>
    <n v="2"/>
    <s v="yes"/>
    <x v="0"/>
    <n v="18608.261999999999"/>
  </r>
  <r>
    <n v="64"/>
    <s v="male"/>
    <n v="39.159999999999997"/>
    <n v="1"/>
    <s v="no"/>
    <x v="1"/>
    <n v="14418.2804"/>
  </r>
  <r>
    <n v="63"/>
    <s v="female"/>
    <n v="26.98"/>
    <n v="0"/>
    <s v="yes"/>
    <x v="2"/>
    <n v="28950.4692"/>
  </r>
  <r>
    <n v="64"/>
    <s v="male"/>
    <n v="33.880000000000003"/>
    <n v="0"/>
    <s v="yes"/>
    <x v="1"/>
    <n v="46889.261200000001"/>
  </r>
  <r>
    <n v="61"/>
    <s v="male"/>
    <n v="35.86"/>
    <n v="0"/>
    <s v="yes"/>
    <x v="1"/>
    <n v="46599.108399999997"/>
  </r>
  <r>
    <n v="40"/>
    <s v="male"/>
    <n v="32.774999999999999"/>
    <n v="1"/>
    <s v="yes"/>
    <x v="3"/>
    <n v="39125.332249999999"/>
  </r>
  <r>
    <n v="25"/>
    <s v="male"/>
    <n v="30.59"/>
    <n v="0"/>
    <s v="no"/>
    <x v="3"/>
    <n v="2727.3951000000002"/>
  </r>
  <r>
    <n v="48"/>
    <s v="male"/>
    <n v="30.2"/>
    <n v="2"/>
    <s v="no"/>
    <x v="0"/>
    <n v="8968.33"/>
  </r>
  <r>
    <n v="45"/>
    <s v="male"/>
    <n v="24.31"/>
    <n v="5"/>
    <s v="no"/>
    <x v="1"/>
    <n v="9788.8659000000007"/>
  </r>
  <r>
    <n v="38"/>
    <s v="female"/>
    <n v="27.265000000000001"/>
    <n v="1"/>
    <s v="no"/>
    <x v="3"/>
    <n v="6555.07035"/>
  </r>
  <r>
    <n v="18"/>
    <s v="female"/>
    <n v="29.164999999999999"/>
    <n v="0"/>
    <s v="no"/>
    <x v="3"/>
    <n v="7323.7348190000002"/>
  </r>
  <r>
    <n v="21"/>
    <s v="female"/>
    <n v="16.815000000000001"/>
    <n v="1"/>
    <s v="no"/>
    <x v="3"/>
    <n v="3167.4558499999998"/>
  </r>
  <r>
    <n v="27"/>
    <s v="female"/>
    <n v="30.4"/>
    <n v="3"/>
    <s v="no"/>
    <x v="2"/>
    <n v="18804.752400000001"/>
  </r>
  <r>
    <n v="19"/>
    <s v="male"/>
    <n v="33.1"/>
    <n v="0"/>
    <s v="no"/>
    <x v="0"/>
    <n v="23082.955330000001"/>
  </r>
  <r>
    <n v="29"/>
    <s v="female"/>
    <n v="20.234999999999999"/>
    <n v="2"/>
    <s v="no"/>
    <x v="2"/>
    <n v="4906.4096499999996"/>
  </r>
  <r>
    <n v="42"/>
    <s v="male"/>
    <n v="26.9"/>
    <n v="0"/>
    <s v="no"/>
    <x v="0"/>
    <n v="5969.723"/>
  </r>
  <r>
    <n v="60"/>
    <s v="female"/>
    <n v="30.5"/>
    <n v="0"/>
    <s v="no"/>
    <x v="0"/>
    <n v="12638.195"/>
  </r>
  <r>
    <n v="31"/>
    <s v="male"/>
    <n v="28.594999999999999"/>
    <n v="1"/>
    <s v="no"/>
    <x v="2"/>
    <n v="4243.5900499999998"/>
  </r>
  <r>
    <n v="60"/>
    <s v="male"/>
    <n v="33.11"/>
    <n v="3"/>
    <s v="no"/>
    <x v="1"/>
    <n v="13919.822899999999"/>
  </r>
  <r>
    <n v="22"/>
    <s v="male"/>
    <n v="31.73"/>
    <n v="0"/>
    <s v="no"/>
    <x v="3"/>
    <n v="2254.7966999999999"/>
  </r>
  <r>
    <n v="35"/>
    <s v="male"/>
    <n v="28.9"/>
    <n v="3"/>
    <s v="no"/>
    <x v="0"/>
    <n v="5926.8459999999995"/>
  </r>
  <r>
    <n v="52"/>
    <s v="female"/>
    <n v="46.75"/>
    <n v="5"/>
    <s v="no"/>
    <x v="1"/>
    <n v="12592.5345"/>
  </r>
  <r>
    <n v="26"/>
    <s v="male"/>
    <n v="29.45"/>
    <n v="0"/>
    <s v="no"/>
    <x v="3"/>
    <n v="2897.3235"/>
  </r>
  <r>
    <n v="31"/>
    <s v="female"/>
    <n v="32.68"/>
    <n v="1"/>
    <s v="no"/>
    <x v="2"/>
    <n v="4738.2682000000004"/>
  </r>
  <r>
    <n v="33"/>
    <s v="female"/>
    <n v="33.5"/>
    <n v="0"/>
    <s v="yes"/>
    <x v="0"/>
    <n v="37079.372000000003"/>
  </r>
  <r>
    <n v="18"/>
    <s v="male"/>
    <n v="43.01"/>
    <n v="0"/>
    <s v="no"/>
    <x v="1"/>
    <n v="1149.3959"/>
  </r>
  <r>
    <n v="59"/>
    <s v="female"/>
    <n v="36.520000000000003"/>
    <n v="1"/>
    <s v="no"/>
    <x v="1"/>
    <n v="28287.897659999999"/>
  </r>
  <r>
    <n v="56"/>
    <s v="male"/>
    <n v="26.695"/>
    <n v="1"/>
    <s v="yes"/>
    <x v="2"/>
    <n v="26109.32905"/>
  </r>
  <r>
    <n v="45"/>
    <s v="female"/>
    <n v="33.1"/>
    <n v="0"/>
    <s v="no"/>
    <x v="0"/>
    <n v="7345.0839999999998"/>
  </r>
  <r>
    <n v="60"/>
    <s v="male"/>
    <n v="29.64"/>
    <n v="0"/>
    <s v="no"/>
    <x v="3"/>
    <n v="12730.999599999999"/>
  </r>
  <r>
    <n v="56"/>
    <s v="female"/>
    <n v="25.65"/>
    <n v="0"/>
    <s v="no"/>
    <x v="2"/>
    <n v="11454.021500000001"/>
  </r>
  <r>
    <n v="40"/>
    <s v="female"/>
    <n v="29.6"/>
    <n v="0"/>
    <s v="no"/>
    <x v="0"/>
    <n v="5910.9440000000004"/>
  </r>
  <r>
    <n v="35"/>
    <s v="male"/>
    <n v="38.6"/>
    <n v="1"/>
    <s v="no"/>
    <x v="0"/>
    <n v="4762.3289999999997"/>
  </r>
  <r>
    <n v="39"/>
    <s v="male"/>
    <n v="29.6"/>
    <n v="4"/>
    <s v="no"/>
    <x v="0"/>
    <n v="7512.2669999999998"/>
  </r>
  <r>
    <n v="30"/>
    <s v="male"/>
    <n v="24.13"/>
    <n v="1"/>
    <s v="no"/>
    <x v="2"/>
    <n v="4032.2406999999998"/>
  </r>
  <r>
    <n v="24"/>
    <s v="male"/>
    <n v="23.4"/>
    <n v="0"/>
    <s v="no"/>
    <x v="0"/>
    <n v="1969.614"/>
  </r>
  <r>
    <n v="20"/>
    <s v="male"/>
    <n v="29.734999999999999"/>
    <n v="0"/>
    <s v="no"/>
    <x v="2"/>
    <n v="1769.5316499999999"/>
  </r>
  <r>
    <n v="32"/>
    <s v="male"/>
    <n v="46.53"/>
    <n v="2"/>
    <s v="no"/>
    <x v="1"/>
    <n v="4686.3887000000004"/>
  </r>
  <r>
    <n v="59"/>
    <s v="male"/>
    <n v="37.4"/>
    <n v="0"/>
    <s v="no"/>
    <x v="0"/>
    <n v="21797.000400000001"/>
  </r>
  <r>
    <n v="55"/>
    <s v="female"/>
    <n v="30.14"/>
    <n v="2"/>
    <s v="no"/>
    <x v="1"/>
    <n v="11881.9696"/>
  </r>
  <r>
    <n v="57"/>
    <s v="female"/>
    <n v="30.495000000000001"/>
    <n v="0"/>
    <s v="no"/>
    <x v="2"/>
    <n v="11840.77505"/>
  </r>
  <r>
    <n v="56"/>
    <s v="male"/>
    <n v="39.6"/>
    <n v="0"/>
    <s v="no"/>
    <x v="0"/>
    <n v="10601.412"/>
  </r>
  <r>
    <n v="40"/>
    <s v="female"/>
    <n v="33"/>
    <n v="3"/>
    <s v="no"/>
    <x v="1"/>
    <n v="7682.67"/>
  </r>
  <r>
    <n v="49"/>
    <s v="female"/>
    <n v="36.630000000000003"/>
    <n v="3"/>
    <s v="no"/>
    <x v="1"/>
    <n v="10381.4787"/>
  </r>
  <r>
    <n v="42"/>
    <s v="male"/>
    <n v="30"/>
    <n v="0"/>
    <s v="yes"/>
    <x v="0"/>
    <n v="22144.031999999999"/>
  </r>
  <r>
    <n v="62"/>
    <s v="female"/>
    <n v="38.094999999999999"/>
    <n v="2"/>
    <s v="no"/>
    <x v="3"/>
    <n v="15230.324049999999"/>
  </r>
  <r>
    <n v="56"/>
    <s v="male"/>
    <n v="25.934999999999999"/>
    <n v="0"/>
    <s v="no"/>
    <x v="3"/>
    <n v="11165.417649999999"/>
  </r>
  <r>
    <n v="19"/>
    <s v="male"/>
    <n v="25.175000000000001"/>
    <n v="0"/>
    <s v="no"/>
    <x v="2"/>
    <n v="1632.0362500000001"/>
  </r>
  <r>
    <n v="30"/>
    <s v="female"/>
    <n v="28.38"/>
    <n v="1"/>
    <s v="yes"/>
    <x v="1"/>
    <n v="19521.968199999999"/>
  </r>
  <r>
    <n v="60"/>
    <s v="female"/>
    <n v="28.7"/>
    <n v="1"/>
    <s v="no"/>
    <x v="0"/>
    <n v="13224.692999999999"/>
  </r>
  <r>
    <n v="56"/>
    <s v="female"/>
    <n v="33.82"/>
    <n v="2"/>
    <s v="no"/>
    <x v="2"/>
    <n v="12643.3778"/>
  </r>
  <r>
    <n v="28"/>
    <s v="female"/>
    <n v="24.32"/>
    <n v="1"/>
    <s v="no"/>
    <x v="3"/>
    <n v="23288.928400000001"/>
  </r>
  <r>
    <n v="18"/>
    <s v="female"/>
    <n v="24.09"/>
    <n v="1"/>
    <s v="no"/>
    <x v="1"/>
    <n v="2201.0971"/>
  </r>
  <r>
    <n v="27"/>
    <s v="male"/>
    <n v="32.67"/>
    <n v="0"/>
    <s v="no"/>
    <x v="1"/>
    <n v="2497.0383000000002"/>
  </r>
  <r>
    <n v="18"/>
    <s v="female"/>
    <n v="30.114999999999998"/>
    <n v="0"/>
    <s v="no"/>
    <x v="3"/>
    <n v="2203.4718499999999"/>
  </r>
  <r>
    <n v="19"/>
    <s v="female"/>
    <n v="29.8"/>
    <n v="0"/>
    <s v="no"/>
    <x v="0"/>
    <n v="1744.4649999999999"/>
  </r>
  <r>
    <n v="47"/>
    <s v="female"/>
    <n v="33.344999999999999"/>
    <n v="0"/>
    <s v="no"/>
    <x v="3"/>
    <n v="20878.78443"/>
  </r>
  <r>
    <n v="54"/>
    <s v="male"/>
    <n v="25.1"/>
    <n v="3"/>
    <s v="yes"/>
    <x v="0"/>
    <n v="25382.296999999999"/>
  </r>
  <r>
    <n v="61"/>
    <s v="male"/>
    <n v="28.31"/>
    <n v="1"/>
    <s v="yes"/>
    <x v="2"/>
    <n v="28868.6639"/>
  </r>
  <r>
    <n v="24"/>
    <s v="male"/>
    <n v="28.5"/>
    <n v="0"/>
    <s v="yes"/>
    <x v="3"/>
    <n v="35147.528480000001"/>
  </r>
  <r>
    <n v="25"/>
    <s v="male"/>
    <n v="35.625"/>
    <n v="0"/>
    <s v="no"/>
    <x v="2"/>
    <n v="2534.3937500000002"/>
  </r>
  <r>
    <n v="21"/>
    <s v="male"/>
    <n v="36.85"/>
    <n v="0"/>
    <s v="no"/>
    <x v="1"/>
    <n v="1534.3045"/>
  </r>
  <r>
    <n v="23"/>
    <s v="male"/>
    <n v="32.56"/>
    <n v="0"/>
    <s v="no"/>
    <x v="1"/>
    <n v="1824.2854"/>
  </r>
  <r>
    <n v="63"/>
    <s v="male"/>
    <n v="41.325000000000003"/>
    <n v="3"/>
    <s v="no"/>
    <x v="2"/>
    <n v="15555.188749999999"/>
  </r>
  <r>
    <n v="49"/>
    <s v="male"/>
    <n v="37.51"/>
    <n v="2"/>
    <s v="no"/>
    <x v="1"/>
    <n v="9304.7019"/>
  </r>
  <r>
    <n v="18"/>
    <s v="female"/>
    <n v="31.35"/>
    <n v="0"/>
    <s v="no"/>
    <x v="1"/>
    <n v="1622.1885"/>
  </r>
  <r>
    <n v="51"/>
    <s v="female"/>
    <n v="39.5"/>
    <n v="1"/>
    <s v="no"/>
    <x v="0"/>
    <n v="9880.0679999999993"/>
  </r>
  <r>
    <n v="48"/>
    <s v="male"/>
    <n v="34.299999999999997"/>
    <n v="3"/>
    <s v="no"/>
    <x v="0"/>
    <n v="9563.0290000000005"/>
  </r>
  <r>
    <n v="31"/>
    <s v="female"/>
    <n v="31.065000000000001"/>
    <n v="0"/>
    <s v="no"/>
    <x v="3"/>
    <n v="4347.0233500000004"/>
  </r>
  <r>
    <n v="54"/>
    <s v="female"/>
    <n v="21.47"/>
    <n v="3"/>
    <s v="no"/>
    <x v="2"/>
    <n v="12475.3513"/>
  </r>
  <r>
    <n v="19"/>
    <s v="male"/>
    <n v="28.7"/>
    <n v="0"/>
    <s v="no"/>
    <x v="0"/>
    <n v="1253.9359999999999"/>
  </r>
  <r>
    <n v="44"/>
    <s v="female"/>
    <n v="38.06"/>
    <n v="0"/>
    <s v="yes"/>
    <x v="1"/>
    <n v="48885.135609999998"/>
  </r>
  <r>
    <n v="53"/>
    <s v="male"/>
    <n v="31.16"/>
    <n v="1"/>
    <s v="no"/>
    <x v="2"/>
    <n v="10461.9794"/>
  </r>
  <r>
    <n v="19"/>
    <s v="female"/>
    <n v="32.9"/>
    <n v="0"/>
    <s v="no"/>
    <x v="0"/>
    <n v="1748.7739999999999"/>
  </r>
  <r>
    <n v="61"/>
    <s v="female"/>
    <n v="25.08"/>
    <n v="0"/>
    <s v="no"/>
    <x v="1"/>
    <n v="24513.091260000001"/>
  </r>
  <r>
    <n v="18"/>
    <s v="female"/>
    <n v="25.08"/>
    <n v="0"/>
    <s v="no"/>
    <x v="3"/>
    <n v="2196.4731999999999"/>
  </r>
  <r>
    <n v="61"/>
    <s v="male"/>
    <n v="43.4"/>
    <n v="0"/>
    <s v="no"/>
    <x v="0"/>
    <n v="12574.049000000001"/>
  </r>
  <r>
    <n v="21"/>
    <s v="male"/>
    <n v="25.7"/>
    <n v="4"/>
    <s v="yes"/>
    <x v="0"/>
    <n v="17942.106"/>
  </r>
  <r>
    <n v="20"/>
    <s v="male"/>
    <n v="27.93"/>
    <n v="0"/>
    <s v="no"/>
    <x v="3"/>
    <n v="1967.0227"/>
  </r>
  <r>
    <n v="31"/>
    <s v="female"/>
    <n v="23.6"/>
    <n v="2"/>
    <s v="no"/>
    <x v="0"/>
    <n v="4931.6469999999999"/>
  </r>
  <r>
    <n v="45"/>
    <s v="male"/>
    <n v="28.7"/>
    <n v="2"/>
    <s v="no"/>
    <x v="0"/>
    <n v="8027.9679999999998"/>
  </r>
  <r>
    <n v="44"/>
    <s v="female"/>
    <n v="23.98"/>
    <n v="2"/>
    <s v="no"/>
    <x v="1"/>
    <n v="8211.1002000000008"/>
  </r>
  <r>
    <n v="62"/>
    <s v="female"/>
    <n v="39.200000000000003"/>
    <n v="0"/>
    <s v="no"/>
    <x v="0"/>
    <n v="13470.86"/>
  </r>
  <r>
    <n v="29"/>
    <s v="male"/>
    <n v="34.4"/>
    <n v="0"/>
    <s v="yes"/>
    <x v="0"/>
    <n v="36197.699000000001"/>
  </r>
  <r>
    <n v="43"/>
    <s v="male"/>
    <n v="26.03"/>
    <n v="0"/>
    <s v="no"/>
    <x v="3"/>
    <n v="6837.3687"/>
  </r>
  <r>
    <n v="51"/>
    <s v="male"/>
    <n v="23.21"/>
    <n v="1"/>
    <s v="yes"/>
    <x v="1"/>
    <n v="22218.1149"/>
  </r>
  <r>
    <n v="19"/>
    <s v="male"/>
    <n v="30.25"/>
    <n v="0"/>
    <s v="yes"/>
    <x v="1"/>
    <n v="32548.340499999998"/>
  </r>
  <r>
    <n v="38"/>
    <s v="female"/>
    <n v="28.93"/>
    <n v="1"/>
    <s v="no"/>
    <x v="1"/>
    <n v="5974.3846999999996"/>
  </r>
  <r>
    <n v="37"/>
    <s v="male"/>
    <n v="30.875"/>
    <n v="3"/>
    <s v="no"/>
    <x v="2"/>
    <n v="6796.8632500000003"/>
  </r>
  <r>
    <n v="22"/>
    <s v="male"/>
    <n v="31.35"/>
    <n v="1"/>
    <s v="no"/>
    <x v="2"/>
    <n v="2643.2685000000001"/>
  </r>
  <r>
    <n v="21"/>
    <s v="male"/>
    <n v="23.75"/>
    <n v="2"/>
    <s v="no"/>
    <x v="2"/>
    <n v="3077.0954999999999"/>
  </r>
  <r>
    <n v="24"/>
    <s v="female"/>
    <n v="25.27"/>
    <n v="0"/>
    <s v="no"/>
    <x v="3"/>
    <n v="3044.2132999999999"/>
  </r>
  <r>
    <n v="57"/>
    <s v="female"/>
    <n v="28.7"/>
    <n v="0"/>
    <s v="no"/>
    <x v="0"/>
    <n v="11455.28"/>
  </r>
  <r>
    <n v="56"/>
    <s v="male"/>
    <n v="32.11"/>
    <n v="1"/>
    <s v="no"/>
    <x v="3"/>
    <n v="11763.000899999999"/>
  </r>
  <r>
    <n v="27"/>
    <s v="male"/>
    <n v="33.659999999999997"/>
    <n v="0"/>
    <s v="no"/>
    <x v="1"/>
    <n v="2498.4144000000001"/>
  </r>
  <r>
    <n v="51"/>
    <s v="male"/>
    <n v="22.42"/>
    <n v="0"/>
    <s v="no"/>
    <x v="3"/>
    <n v="9361.3268000000007"/>
  </r>
  <r>
    <n v="19"/>
    <s v="male"/>
    <n v="30.4"/>
    <n v="0"/>
    <s v="no"/>
    <x v="0"/>
    <n v="1256.299"/>
  </r>
  <r>
    <n v="39"/>
    <s v="male"/>
    <n v="28.3"/>
    <n v="1"/>
    <s v="yes"/>
    <x v="0"/>
    <n v="21082.16"/>
  </r>
  <r>
    <n v="58"/>
    <s v="male"/>
    <n v="35.700000000000003"/>
    <n v="0"/>
    <s v="no"/>
    <x v="0"/>
    <n v="11362.754999999999"/>
  </r>
  <r>
    <n v="20"/>
    <s v="male"/>
    <n v="35.31"/>
    <n v="1"/>
    <s v="no"/>
    <x v="1"/>
    <n v="27724.28875"/>
  </r>
  <r>
    <n v="45"/>
    <s v="male"/>
    <n v="30.495000000000001"/>
    <n v="2"/>
    <s v="no"/>
    <x v="2"/>
    <n v="8413.4630500000003"/>
  </r>
  <r>
    <n v="35"/>
    <s v="female"/>
    <n v="31"/>
    <n v="1"/>
    <s v="no"/>
    <x v="0"/>
    <n v="5240.7650000000003"/>
  </r>
  <r>
    <n v="31"/>
    <s v="male"/>
    <n v="30.875"/>
    <n v="0"/>
    <s v="no"/>
    <x v="3"/>
    <n v="3857.7592500000001"/>
  </r>
  <r>
    <n v="50"/>
    <s v="female"/>
    <n v="27.36"/>
    <n v="0"/>
    <s v="no"/>
    <x v="3"/>
    <n v="25656.575260000001"/>
  </r>
  <r>
    <n v="32"/>
    <s v="female"/>
    <n v="44.22"/>
    <n v="0"/>
    <s v="no"/>
    <x v="1"/>
    <n v="3994.1777999999999"/>
  </r>
  <r>
    <n v="51"/>
    <s v="female"/>
    <n v="33.914999999999999"/>
    <n v="0"/>
    <s v="no"/>
    <x v="3"/>
    <n v="9866.3048500000004"/>
  </r>
  <r>
    <n v="38"/>
    <s v="female"/>
    <n v="37.729999999999997"/>
    <n v="0"/>
    <s v="no"/>
    <x v="1"/>
    <n v="5397.6166999999996"/>
  </r>
  <r>
    <n v="42"/>
    <s v="male"/>
    <n v="26.07"/>
    <n v="1"/>
    <s v="yes"/>
    <x v="1"/>
    <n v="38245.593269999998"/>
  </r>
  <r>
    <n v="18"/>
    <s v="female"/>
    <n v="33.880000000000003"/>
    <n v="0"/>
    <s v="no"/>
    <x v="1"/>
    <n v="11482.63485"/>
  </r>
  <r>
    <n v="19"/>
    <s v="female"/>
    <n v="30.59"/>
    <n v="2"/>
    <s v="no"/>
    <x v="2"/>
    <n v="24059.680189999999"/>
  </r>
  <r>
    <n v="51"/>
    <s v="female"/>
    <n v="25.8"/>
    <n v="1"/>
    <s v="no"/>
    <x v="0"/>
    <n v="9861.0249999999996"/>
  </r>
  <r>
    <n v="46"/>
    <s v="male"/>
    <n v="39.424999999999997"/>
    <n v="1"/>
    <s v="no"/>
    <x v="3"/>
    <n v="8342.9087500000005"/>
  </r>
  <r>
    <n v="18"/>
    <s v="male"/>
    <n v="25.46"/>
    <n v="0"/>
    <s v="no"/>
    <x v="3"/>
    <n v="1708.0014000000001"/>
  </r>
  <r>
    <n v="57"/>
    <s v="male"/>
    <n v="42.13"/>
    <n v="1"/>
    <s v="yes"/>
    <x v="1"/>
    <n v="48675.517699999997"/>
  </r>
  <r>
    <n v="62"/>
    <s v="female"/>
    <n v="31.73"/>
    <n v="0"/>
    <s v="no"/>
    <x v="3"/>
    <n v="14043.476699999999"/>
  </r>
  <r>
    <n v="59"/>
    <s v="male"/>
    <n v="29.7"/>
    <n v="2"/>
    <s v="no"/>
    <x v="1"/>
    <n v="12925.886"/>
  </r>
  <r>
    <n v="37"/>
    <s v="male"/>
    <n v="36.19"/>
    <n v="0"/>
    <s v="no"/>
    <x v="1"/>
    <n v="19214.705529999999"/>
  </r>
  <r>
    <n v="64"/>
    <s v="male"/>
    <n v="40.479999999999997"/>
    <n v="0"/>
    <s v="no"/>
    <x v="1"/>
    <n v="13831.1152"/>
  </r>
  <r>
    <n v="38"/>
    <s v="male"/>
    <n v="28.024999999999999"/>
    <n v="1"/>
    <s v="no"/>
    <x v="3"/>
    <n v="6067.1267500000004"/>
  </r>
  <r>
    <n v="33"/>
    <s v="female"/>
    <n v="38.9"/>
    <n v="3"/>
    <s v="no"/>
    <x v="0"/>
    <n v="5972.3779999999997"/>
  </r>
  <r>
    <n v="46"/>
    <s v="female"/>
    <n v="30.2"/>
    <n v="2"/>
    <s v="no"/>
    <x v="0"/>
    <n v="8825.0859999999993"/>
  </r>
  <r>
    <n v="46"/>
    <s v="female"/>
    <n v="28.05"/>
    <n v="1"/>
    <s v="no"/>
    <x v="1"/>
    <n v="8233.0974999999999"/>
  </r>
  <r>
    <n v="53"/>
    <s v="male"/>
    <n v="31.35"/>
    <n v="0"/>
    <s v="no"/>
    <x v="1"/>
    <n v="27346.04207"/>
  </r>
  <r>
    <n v="34"/>
    <s v="female"/>
    <n v="38"/>
    <n v="3"/>
    <s v="no"/>
    <x v="0"/>
    <n v="6196.4480000000003"/>
  </r>
  <r>
    <n v="20"/>
    <s v="female"/>
    <n v="31.79"/>
    <n v="2"/>
    <s v="no"/>
    <x v="1"/>
    <n v="3056.3881000000001"/>
  </r>
  <r>
    <n v="63"/>
    <s v="female"/>
    <n v="36.299999999999997"/>
    <n v="0"/>
    <s v="no"/>
    <x v="1"/>
    <n v="13887.204"/>
  </r>
  <r>
    <n v="54"/>
    <s v="female"/>
    <n v="47.41"/>
    <n v="0"/>
    <s v="yes"/>
    <x v="1"/>
    <n v="63770.428010000003"/>
  </r>
  <r>
    <n v="54"/>
    <s v="male"/>
    <n v="30.21"/>
    <n v="0"/>
    <s v="no"/>
    <x v="2"/>
    <n v="10231.499900000001"/>
  </r>
  <r>
    <n v="49"/>
    <s v="male"/>
    <n v="25.84"/>
    <n v="2"/>
    <s v="yes"/>
    <x v="2"/>
    <n v="23807.240600000001"/>
  </r>
  <r>
    <n v="28"/>
    <s v="male"/>
    <n v="35.435000000000002"/>
    <n v="0"/>
    <s v="no"/>
    <x v="3"/>
    <n v="3268.84665"/>
  </r>
  <r>
    <n v="54"/>
    <s v="female"/>
    <n v="46.7"/>
    <n v="2"/>
    <s v="no"/>
    <x v="0"/>
    <n v="11538.421"/>
  </r>
  <r>
    <n v="25"/>
    <s v="female"/>
    <n v="28.594999999999999"/>
    <n v="0"/>
    <s v="no"/>
    <x v="3"/>
    <n v="3213.6220499999999"/>
  </r>
  <r>
    <n v="43"/>
    <s v="female"/>
    <n v="46.2"/>
    <n v="0"/>
    <s v="yes"/>
    <x v="1"/>
    <n v="45863.205000000002"/>
  </r>
  <r>
    <n v="63"/>
    <s v="male"/>
    <n v="30.8"/>
    <n v="0"/>
    <s v="no"/>
    <x v="0"/>
    <n v="13390.558999999999"/>
  </r>
  <r>
    <n v="32"/>
    <s v="female"/>
    <n v="28.93"/>
    <n v="0"/>
    <s v="no"/>
    <x v="1"/>
    <n v="3972.9247"/>
  </r>
  <r>
    <n v="62"/>
    <s v="male"/>
    <n v="21.4"/>
    <n v="0"/>
    <s v="no"/>
    <x v="0"/>
    <n v="12957.118"/>
  </r>
  <r>
    <n v="52"/>
    <s v="female"/>
    <n v="31.73"/>
    <n v="2"/>
    <s v="no"/>
    <x v="2"/>
    <n v="11187.6567"/>
  </r>
  <r>
    <n v="25"/>
    <s v="female"/>
    <n v="41.325000000000003"/>
    <n v="0"/>
    <s v="no"/>
    <x v="3"/>
    <n v="17878.900679999999"/>
  </r>
  <r>
    <n v="28"/>
    <s v="male"/>
    <n v="23.8"/>
    <n v="2"/>
    <s v="no"/>
    <x v="0"/>
    <n v="3847.674"/>
  </r>
  <r>
    <n v="46"/>
    <s v="male"/>
    <n v="33.44"/>
    <n v="1"/>
    <s v="no"/>
    <x v="3"/>
    <n v="8334.5895999999993"/>
  </r>
  <r>
    <n v="34"/>
    <s v="male"/>
    <n v="34.21"/>
    <n v="0"/>
    <s v="no"/>
    <x v="1"/>
    <n v="3935.1799000000001"/>
  </r>
  <r>
    <n v="35"/>
    <s v="female"/>
    <n v="34.104999999999997"/>
    <n v="3"/>
    <s v="yes"/>
    <x v="2"/>
    <n v="39983.425949999997"/>
  </r>
  <r>
    <n v="19"/>
    <s v="male"/>
    <n v="35.53"/>
    <n v="0"/>
    <s v="no"/>
    <x v="2"/>
    <n v="1646.4296999999999"/>
  </r>
  <r>
    <n v="46"/>
    <s v="female"/>
    <n v="19.95"/>
    <n v="2"/>
    <s v="no"/>
    <x v="2"/>
    <n v="9193.8384999999998"/>
  </r>
  <r>
    <n v="54"/>
    <s v="female"/>
    <n v="32.68"/>
    <n v="0"/>
    <s v="no"/>
    <x v="3"/>
    <n v="10923.933199999999"/>
  </r>
  <r>
    <n v="27"/>
    <s v="male"/>
    <n v="30.5"/>
    <n v="0"/>
    <s v="no"/>
    <x v="0"/>
    <n v="2494.0219999999999"/>
  </r>
  <r>
    <n v="50"/>
    <s v="male"/>
    <n v="44.77"/>
    <n v="1"/>
    <s v="no"/>
    <x v="1"/>
    <n v="9058.7302999999993"/>
  </r>
  <r>
    <n v="18"/>
    <s v="female"/>
    <n v="32.119999999999997"/>
    <n v="2"/>
    <s v="no"/>
    <x v="1"/>
    <n v="2801.2588000000001"/>
  </r>
  <r>
    <n v="19"/>
    <s v="female"/>
    <n v="30.495000000000001"/>
    <n v="0"/>
    <s v="no"/>
    <x v="2"/>
    <n v="2128.4310500000001"/>
  </r>
  <r>
    <n v="38"/>
    <s v="female"/>
    <n v="40.564999999999998"/>
    <n v="1"/>
    <s v="no"/>
    <x v="2"/>
    <n v="6373.55735"/>
  </r>
  <r>
    <n v="41"/>
    <s v="male"/>
    <n v="30.59"/>
    <n v="2"/>
    <s v="no"/>
    <x v="2"/>
    <n v="7256.7231000000002"/>
  </r>
  <r>
    <n v="49"/>
    <s v="female"/>
    <n v="31.9"/>
    <n v="5"/>
    <s v="no"/>
    <x v="0"/>
    <n v="11552.904"/>
  </r>
  <r>
    <n v="48"/>
    <s v="male"/>
    <n v="40.564999999999998"/>
    <n v="2"/>
    <s v="yes"/>
    <x v="2"/>
    <n v="45702.022349999999"/>
  </r>
  <r>
    <n v="31"/>
    <s v="female"/>
    <n v="29.1"/>
    <n v="0"/>
    <s v="no"/>
    <x v="0"/>
    <n v="3761.2919999999999"/>
  </r>
  <r>
    <n v="18"/>
    <s v="female"/>
    <n v="37.29"/>
    <n v="1"/>
    <s v="no"/>
    <x v="1"/>
    <n v="2219.4450999999999"/>
  </r>
  <r>
    <n v="30"/>
    <s v="female"/>
    <n v="43.12"/>
    <n v="2"/>
    <s v="no"/>
    <x v="1"/>
    <n v="4753.6368000000002"/>
  </r>
  <r>
    <n v="62"/>
    <s v="female"/>
    <n v="36.86"/>
    <n v="1"/>
    <s v="no"/>
    <x v="3"/>
    <n v="31620.001059999999"/>
  </r>
  <r>
    <n v="57"/>
    <s v="female"/>
    <n v="34.295000000000002"/>
    <n v="2"/>
    <s v="no"/>
    <x v="3"/>
    <n v="13224.057049999999"/>
  </r>
  <r>
    <n v="58"/>
    <s v="female"/>
    <n v="27.17"/>
    <n v="0"/>
    <s v="no"/>
    <x v="2"/>
    <n v="12222.898300000001"/>
  </r>
  <r>
    <n v="22"/>
    <s v="male"/>
    <n v="26.84"/>
    <n v="0"/>
    <s v="no"/>
    <x v="1"/>
    <n v="1664.9996000000001"/>
  </r>
  <r>
    <n v="31"/>
    <s v="female"/>
    <n v="38.094999999999999"/>
    <n v="1"/>
    <s v="yes"/>
    <x v="3"/>
    <n v="58571.074480000003"/>
  </r>
  <r>
    <n v="52"/>
    <s v="male"/>
    <n v="30.2"/>
    <n v="1"/>
    <s v="no"/>
    <x v="0"/>
    <n v="9724.5300000000007"/>
  </r>
  <r>
    <n v="25"/>
    <s v="female"/>
    <n v="23.465"/>
    <n v="0"/>
    <s v="no"/>
    <x v="3"/>
    <n v="3206.4913499999998"/>
  </r>
  <r>
    <n v="59"/>
    <s v="male"/>
    <n v="25.46"/>
    <n v="1"/>
    <s v="no"/>
    <x v="3"/>
    <n v="12913.992399999999"/>
  </r>
  <r>
    <n v="19"/>
    <s v="male"/>
    <n v="30.59"/>
    <n v="0"/>
    <s v="no"/>
    <x v="2"/>
    <n v="1639.5631000000001"/>
  </r>
  <r>
    <n v="39"/>
    <s v="male"/>
    <n v="45.43"/>
    <n v="2"/>
    <s v="no"/>
    <x v="1"/>
    <n v="6356.2707"/>
  </r>
  <r>
    <n v="32"/>
    <s v="female"/>
    <n v="23.65"/>
    <n v="1"/>
    <s v="no"/>
    <x v="1"/>
    <n v="17626.239509999999"/>
  </r>
  <r>
    <n v="19"/>
    <s v="male"/>
    <n v="20.7"/>
    <n v="0"/>
    <s v="no"/>
    <x v="0"/>
    <n v="1242.816"/>
  </r>
  <r>
    <n v="33"/>
    <s v="female"/>
    <n v="28.27"/>
    <n v="1"/>
    <s v="no"/>
    <x v="1"/>
    <n v="4779.6022999999996"/>
  </r>
  <r>
    <n v="21"/>
    <s v="male"/>
    <n v="20.234999999999999"/>
    <n v="3"/>
    <s v="no"/>
    <x v="3"/>
    <n v="3861.2096499999998"/>
  </r>
  <r>
    <n v="34"/>
    <s v="female"/>
    <n v="30.21"/>
    <n v="1"/>
    <s v="yes"/>
    <x v="2"/>
    <n v="43943.876100000001"/>
  </r>
  <r>
    <n v="61"/>
    <s v="female"/>
    <n v="35.909999999999997"/>
    <n v="0"/>
    <s v="no"/>
    <x v="3"/>
    <n v="13635.6379"/>
  </r>
  <r>
    <n v="38"/>
    <s v="female"/>
    <n v="30.69"/>
    <n v="1"/>
    <s v="no"/>
    <x v="1"/>
    <n v="5976.8311000000003"/>
  </r>
  <r>
    <n v="58"/>
    <s v="female"/>
    <n v="29"/>
    <n v="0"/>
    <s v="no"/>
    <x v="0"/>
    <n v="11842.441999999999"/>
  </r>
  <r>
    <n v="47"/>
    <s v="male"/>
    <n v="19.57"/>
    <n v="1"/>
    <s v="no"/>
    <x v="2"/>
    <n v="8428.0692999999992"/>
  </r>
  <r>
    <n v="20"/>
    <s v="male"/>
    <n v="31.13"/>
    <n v="2"/>
    <s v="no"/>
    <x v="1"/>
    <n v="2566.4706999999999"/>
  </r>
  <r>
    <n v="21"/>
    <s v="female"/>
    <n v="21.85"/>
    <n v="1"/>
    <s v="yes"/>
    <x v="3"/>
    <n v="15359.104499999999"/>
  </r>
  <r>
    <n v="41"/>
    <s v="male"/>
    <n v="40.26"/>
    <n v="0"/>
    <s v="no"/>
    <x v="1"/>
    <n v="5709.1643999999997"/>
  </r>
  <r>
    <n v="46"/>
    <s v="female"/>
    <n v="33.725000000000001"/>
    <n v="1"/>
    <s v="no"/>
    <x v="3"/>
    <n v="8823.9857499999998"/>
  </r>
  <r>
    <n v="42"/>
    <s v="female"/>
    <n v="29.48"/>
    <n v="2"/>
    <s v="no"/>
    <x v="1"/>
    <n v="7640.3091999999997"/>
  </r>
  <r>
    <n v="34"/>
    <s v="female"/>
    <n v="33.25"/>
    <n v="1"/>
    <s v="no"/>
    <x v="3"/>
    <n v="5594.8455000000004"/>
  </r>
  <r>
    <n v="43"/>
    <s v="male"/>
    <n v="32.6"/>
    <n v="2"/>
    <s v="no"/>
    <x v="0"/>
    <n v="7441.5010000000002"/>
  </r>
  <r>
    <n v="52"/>
    <s v="female"/>
    <n v="37.524999999999999"/>
    <n v="2"/>
    <s v="no"/>
    <x v="2"/>
    <n v="33471.971890000001"/>
  </r>
  <r>
    <n v="18"/>
    <s v="female"/>
    <n v="39.159999999999997"/>
    <n v="0"/>
    <s v="no"/>
    <x v="1"/>
    <n v="1633.0444"/>
  </r>
  <r>
    <n v="51"/>
    <s v="male"/>
    <n v="31.635000000000002"/>
    <n v="0"/>
    <s v="no"/>
    <x v="2"/>
    <n v="9174.1356500000002"/>
  </r>
  <r>
    <n v="56"/>
    <s v="female"/>
    <n v="25.3"/>
    <n v="0"/>
    <s v="no"/>
    <x v="0"/>
    <n v="11070.535"/>
  </r>
  <r>
    <n v="64"/>
    <s v="female"/>
    <n v="39.049999999999997"/>
    <n v="3"/>
    <s v="no"/>
    <x v="1"/>
    <n v="16085.127500000001"/>
  </r>
  <r>
    <n v="19"/>
    <s v="female"/>
    <n v="28.31"/>
    <n v="0"/>
    <s v="yes"/>
    <x v="2"/>
    <n v="17468.983899999999"/>
  </r>
  <r>
    <n v="51"/>
    <s v="female"/>
    <n v="34.1"/>
    <n v="0"/>
    <s v="no"/>
    <x v="1"/>
    <n v="9283.5619999999999"/>
  </r>
  <r>
    <n v="27"/>
    <s v="female"/>
    <n v="25.175000000000001"/>
    <n v="0"/>
    <s v="no"/>
    <x v="3"/>
    <n v="3558.6202499999999"/>
  </r>
  <r>
    <n v="59"/>
    <s v="female"/>
    <n v="23.655000000000001"/>
    <n v="0"/>
    <s v="yes"/>
    <x v="2"/>
    <n v="25678.778450000002"/>
  </r>
  <r>
    <n v="28"/>
    <s v="male"/>
    <n v="26.98"/>
    <n v="2"/>
    <s v="no"/>
    <x v="3"/>
    <n v="4435.0941999999995"/>
  </r>
  <r>
    <n v="30"/>
    <s v="male"/>
    <n v="37.799999999999997"/>
    <n v="2"/>
    <s v="yes"/>
    <x v="0"/>
    <n v="39241.442000000003"/>
  </r>
  <r>
    <n v="47"/>
    <s v="female"/>
    <n v="29.37"/>
    <n v="1"/>
    <s v="no"/>
    <x v="1"/>
    <n v="8547.6913000000004"/>
  </r>
  <r>
    <n v="38"/>
    <s v="female"/>
    <n v="34.799999999999997"/>
    <n v="2"/>
    <s v="no"/>
    <x v="0"/>
    <n v="6571.5439999999999"/>
  </r>
  <r>
    <n v="18"/>
    <s v="female"/>
    <n v="33.155000000000001"/>
    <n v="0"/>
    <s v="no"/>
    <x v="3"/>
    <n v="2207.6974500000001"/>
  </r>
  <r>
    <n v="34"/>
    <s v="female"/>
    <n v="19"/>
    <n v="3"/>
    <s v="no"/>
    <x v="3"/>
    <n v="6753.0379999999996"/>
  </r>
  <r>
    <n v="20"/>
    <s v="female"/>
    <n v="33"/>
    <n v="0"/>
    <s v="no"/>
    <x v="1"/>
    <n v="1880.07"/>
  </r>
  <r>
    <n v="47"/>
    <s v="female"/>
    <n v="36.630000000000003"/>
    <n v="1"/>
    <s v="yes"/>
    <x v="1"/>
    <n v="42969.852700000003"/>
  </r>
  <r>
    <n v="56"/>
    <s v="female"/>
    <n v="28.594999999999999"/>
    <n v="0"/>
    <s v="no"/>
    <x v="3"/>
    <n v="11658.11505"/>
  </r>
  <r>
    <n v="49"/>
    <s v="male"/>
    <n v="25.6"/>
    <n v="2"/>
    <s v="yes"/>
    <x v="0"/>
    <n v="23306.546999999999"/>
  </r>
  <r>
    <n v="19"/>
    <s v="female"/>
    <n v="33.11"/>
    <n v="0"/>
    <s v="yes"/>
    <x v="1"/>
    <n v="34439.855900000002"/>
  </r>
  <r>
    <n v="55"/>
    <s v="female"/>
    <n v="37.1"/>
    <n v="0"/>
    <s v="no"/>
    <x v="0"/>
    <n v="10713.644"/>
  </r>
  <r>
    <n v="30"/>
    <s v="male"/>
    <n v="31.4"/>
    <n v="1"/>
    <s v="no"/>
    <x v="0"/>
    <n v="3659.346"/>
  </r>
  <r>
    <n v="37"/>
    <s v="male"/>
    <n v="34.1"/>
    <n v="4"/>
    <s v="yes"/>
    <x v="0"/>
    <n v="40182.245999999999"/>
  </r>
  <r>
    <n v="49"/>
    <s v="female"/>
    <n v="21.3"/>
    <n v="1"/>
    <s v="no"/>
    <x v="0"/>
    <n v="9182.17"/>
  </r>
  <r>
    <n v="18"/>
    <s v="male"/>
    <n v="33.534999999999997"/>
    <n v="0"/>
    <s v="yes"/>
    <x v="3"/>
    <n v="34617.840649999998"/>
  </r>
  <r>
    <n v="59"/>
    <s v="male"/>
    <n v="28.785"/>
    <n v="0"/>
    <s v="no"/>
    <x v="2"/>
    <n v="12129.614149999999"/>
  </r>
  <r>
    <n v="29"/>
    <s v="female"/>
    <n v="26.03"/>
    <n v="0"/>
    <s v="no"/>
    <x v="2"/>
    <n v="3736.4647"/>
  </r>
  <r>
    <n v="36"/>
    <s v="male"/>
    <n v="28.88"/>
    <n v="3"/>
    <s v="no"/>
    <x v="3"/>
    <n v="6748.5911999999998"/>
  </r>
  <r>
    <n v="33"/>
    <s v="male"/>
    <n v="42.46"/>
    <n v="1"/>
    <s v="no"/>
    <x v="1"/>
    <n v="11326.71487"/>
  </r>
  <r>
    <n v="58"/>
    <s v="male"/>
    <n v="38"/>
    <n v="0"/>
    <s v="no"/>
    <x v="0"/>
    <n v="11365.951999999999"/>
  </r>
  <r>
    <n v="44"/>
    <s v="female"/>
    <n v="38.950000000000003"/>
    <n v="0"/>
    <s v="yes"/>
    <x v="2"/>
    <n v="42983.458500000001"/>
  </r>
  <r>
    <n v="53"/>
    <s v="male"/>
    <n v="36.1"/>
    <n v="1"/>
    <s v="no"/>
    <x v="0"/>
    <n v="10085.846"/>
  </r>
  <r>
    <n v="24"/>
    <s v="male"/>
    <n v="29.3"/>
    <n v="0"/>
    <s v="no"/>
    <x v="0"/>
    <n v="1977.8150000000001"/>
  </r>
  <r>
    <n v="29"/>
    <s v="female"/>
    <n v="35.53"/>
    <n v="0"/>
    <s v="no"/>
    <x v="1"/>
    <n v="3366.6696999999999"/>
  </r>
  <r>
    <n v="40"/>
    <s v="male"/>
    <n v="22.704999999999998"/>
    <n v="2"/>
    <s v="no"/>
    <x v="3"/>
    <n v="7173.35995"/>
  </r>
  <r>
    <n v="51"/>
    <s v="male"/>
    <n v="39.700000000000003"/>
    <n v="1"/>
    <s v="no"/>
    <x v="0"/>
    <n v="9391.3459999999995"/>
  </r>
  <r>
    <n v="64"/>
    <s v="male"/>
    <n v="38.19"/>
    <n v="0"/>
    <s v="no"/>
    <x v="3"/>
    <n v="14410.9321"/>
  </r>
  <r>
    <n v="19"/>
    <s v="female"/>
    <n v="24.51"/>
    <n v="1"/>
    <s v="no"/>
    <x v="2"/>
    <n v="2709.1118999999999"/>
  </r>
  <r>
    <n v="35"/>
    <s v="female"/>
    <n v="38.094999999999999"/>
    <n v="2"/>
    <s v="no"/>
    <x v="3"/>
    <n v="24915.046259999999"/>
  </r>
  <r>
    <n v="39"/>
    <s v="male"/>
    <n v="26.41"/>
    <n v="0"/>
    <s v="yes"/>
    <x v="3"/>
    <n v="20149.322899999999"/>
  </r>
  <r>
    <n v="56"/>
    <s v="male"/>
    <n v="33.659999999999997"/>
    <n v="4"/>
    <s v="no"/>
    <x v="1"/>
    <n v="12949.1554"/>
  </r>
  <r>
    <n v="33"/>
    <s v="male"/>
    <n v="42.4"/>
    <n v="5"/>
    <s v="no"/>
    <x v="0"/>
    <n v="6666.2430000000004"/>
  </r>
  <r>
    <n v="42"/>
    <s v="male"/>
    <n v="28.31"/>
    <n v="3"/>
    <s v="yes"/>
    <x v="2"/>
    <n v="32787.458590000002"/>
  </r>
  <r>
    <n v="61"/>
    <s v="male"/>
    <n v="33.914999999999999"/>
    <n v="0"/>
    <s v="no"/>
    <x v="3"/>
    <n v="13143.86485"/>
  </r>
  <r>
    <n v="23"/>
    <s v="female"/>
    <n v="34.96"/>
    <n v="3"/>
    <s v="no"/>
    <x v="2"/>
    <n v="4466.6214"/>
  </r>
  <r>
    <n v="43"/>
    <s v="male"/>
    <n v="35.31"/>
    <n v="2"/>
    <s v="no"/>
    <x v="1"/>
    <n v="18806.145469999999"/>
  </r>
  <r>
    <n v="48"/>
    <s v="male"/>
    <n v="30.78"/>
    <n v="3"/>
    <s v="no"/>
    <x v="3"/>
    <n v="10141.136200000001"/>
  </r>
  <r>
    <n v="39"/>
    <s v="male"/>
    <n v="26.22"/>
    <n v="1"/>
    <s v="no"/>
    <x v="2"/>
    <n v="6123.5688"/>
  </r>
  <r>
    <n v="40"/>
    <s v="female"/>
    <n v="23.37"/>
    <n v="3"/>
    <s v="no"/>
    <x v="3"/>
    <n v="8252.2842999999993"/>
  </r>
  <r>
    <n v="18"/>
    <s v="male"/>
    <n v="28.5"/>
    <n v="0"/>
    <s v="no"/>
    <x v="3"/>
    <n v="1712.2270000000001"/>
  </r>
  <r>
    <n v="58"/>
    <s v="female"/>
    <n v="32.965000000000003"/>
    <n v="0"/>
    <s v="no"/>
    <x v="3"/>
    <n v="12430.95335"/>
  </r>
  <r>
    <n v="49"/>
    <s v="female"/>
    <n v="42.68"/>
    <n v="2"/>
    <s v="no"/>
    <x v="1"/>
    <n v="9800.8881999999994"/>
  </r>
  <r>
    <n v="53"/>
    <s v="female"/>
    <n v="39.6"/>
    <n v="1"/>
    <s v="no"/>
    <x v="1"/>
    <n v="10579.710999999999"/>
  </r>
  <r>
    <n v="48"/>
    <s v="female"/>
    <n v="31.13"/>
    <n v="0"/>
    <s v="no"/>
    <x v="1"/>
    <n v="8280.6226999999999"/>
  </r>
  <r>
    <n v="45"/>
    <s v="female"/>
    <n v="36.299999999999997"/>
    <n v="2"/>
    <s v="no"/>
    <x v="1"/>
    <n v="8527.5319999999992"/>
  </r>
  <r>
    <n v="59"/>
    <s v="female"/>
    <n v="35.200000000000003"/>
    <n v="0"/>
    <s v="no"/>
    <x v="1"/>
    <n v="12244.531000000001"/>
  </r>
  <r>
    <n v="52"/>
    <s v="female"/>
    <n v="25.3"/>
    <n v="2"/>
    <s v="yes"/>
    <x v="1"/>
    <n v="24667.419000000002"/>
  </r>
  <r>
    <n v="26"/>
    <s v="female"/>
    <n v="42.4"/>
    <n v="1"/>
    <s v="no"/>
    <x v="0"/>
    <n v="3410.3240000000001"/>
  </r>
  <r>
    <n v="27"/>
    <s v="male"/>
    <n v="33.155000000000001"/>
    <n v="2"/>
    <s v="no"/>
    <x v="2"/>
    <n v="4058.71245"/>
  </r>
  <r>
    <n v="48"/>
    <s v="female"/>
    <n v="35.909999999999997"/>
    <n v="1"/>
    <s v="no"/>
    <x v="3"/>
    <n v="26392.260289999998"/>
  </r>
  <r>
    <n v="57"/>
    <s v="female"/>
    <n v="28.785"/>
    <n v="4"/>
    <s v="no"/>
    <x v="3"/>
    <n v="14394.398150000001"/>
  </r>
  <r>
    <n v="37"/>
    <s v="male"/>
    <n v="46.53"/>
    <n v="3"/>
    <s v="no"/>
    <x v="1"/>
    <n v="6435.6237000000001"/>
  </r>
  <r>
    <n v="57"/>
    <s v="female"/>
    <n v="23.98"/>
    <n v="1"/>
    <s v="no"/>
    <x v="1"/>
    <n v="22192.437109999999"/>
  </r>
  <r>
    <n v="32"/>
    <s v="female"/>
    <n v="31.54"/>
    <n v="1"/>
    <s v="no"/>
    <x v="3"/>
    <n v="5148.5526"/>
  </r>
  <r>
    <n v="18"/>
    <s v="male"/>
    <n v="33.659999999999997"/>
    <n v="0"/>
    <s v="no"/>
    <x v="1"/>
    <n v="1136.3994"/>
  </r>
  <r>
    <n v="64"/>
    <s v="female"/>
    <n v="22.99"/>
    <n v="0"/>
    <s v="yes"/>
    <x v="1"/>
    <n v="27037.914100000002"/>
  </r>
  <r>
    <n v="43"/>
    <s v="male"/>
    <n v="38.06"/>
    <n v="2"/>
    <s v="yes"/>
    <x v="1"/>
    <n v="42560.430399999997"/>
  </r>
  <r>
    <n v="49"/>
    <s v="male"/>
    <n v="28.7"/>
    <n v="1"/>
    <s v="no"/>
    <x v="0"/>
    <n v="8703.4560000000001"/>
  </r>
  <r>
    <n v="40"/>
    <s v="female"/>
    <n v="32.774999999999999"/>
    <n v="2"/>
    <s v="yes"/>
    <x v="2"/>
    <n v="40003.332249999999"/>
  </r>
  <r>
    <n v="62"/>
    <s v="male"/>
    <n v="32.015000000000001"/>
    <n v="0"/>
    <s v="yes"/>
    <x v="3"/>
    <n v="45710.207849999999"/>
  </r>
  <r>
    <n v="40"/>
    <s v="female"/>
    <n v="29.81"/>
    <n v="1"/>
    <s v="no"/>
    <x v="1"/>
    <n v="6500.2358999999997"/>
  </r>
  <r>
    <n v="30"/>
    <s v="male"/>
    <n v="31.57"/>
    <n v="3"/>
    <s v="no"/>
    <x v="1"/>
    <n v="4837.5823"/>
  </r>
  <r>
    <n v="29"/>
    <s v="female"/>
    <n v="31.16"/>
    <n v="0"/>
    <s v="no"/>
    <x v="3"/>
    <n v="3943.5954000000002"/>
  </r>
  <r>
    <n v="36"/>
    <s v="male"/>
    <n v="29.7"/>
    <n v="0"/>
    <s v="no"/>
    <x v="1"/>
    <n v="4399.7309999999998"/>
  </r>
  <r>
    <n v="41"/>
    <s v="female"/>
    <n v="31.02"/>
    <n v="0"/>
    <s v="no"/>
    <x v="1"/>
    <n v="6185.3208000000004"/>
  </r>
  <r>
    <n v="44"/>
    <s v="female"/>
    <n v="43.89"/>
    <n v="2"/>
    <s v="yes"/>
    <x v="1"/>
    <n v="46200.985099999998"/>
  </r>
  <r>
    <n v="45"/>
    <s v="male"/>
    <n v="21.375"/>
    <n v="0"/>
    <s v="no"/>
    <x v="2"/>
    <n v="7222.7862500000001"/>
  </r>
  <r>
    <n v="55"/>
    <s v="female"/>
    <n v="40.81"/>
    <n v="3"/>
    <s v="no"/>
    <x v="1"/>
    <n v="12485.8009"/>
  </r>
  <r>
    <n v="60"/>
    <s v="male"/>
    <n v="31.35"/>
    <n v="3"/>
    <s v="yes"/>
    <x v="2"/>
    <n v="46130.5265"/>
  </r>
  <r>
    <n v="56"/>
    <s v="male"/>
    <n v="36.1"/>
    <n v="3"/>
    <s v="no"/>
    <x v="0"/>
    <n v="12363.547"/>
  </r>
  <r>
    <n v="49"/>
    <s v="female"/>
    <n v="23.18"/>
    <n v="2"/>
    <s v="no"/>
    <x v="2"/>
    <n v="10156.7832"/>
  </r>
  <r>
    <n v="21"/>
    <s v="female"/>
    <n v="17.399999999999999"/>
    <n v="1"/>
    <s v="no"/>
    <x v="0"/>
    <n v="2585.2689999999998"/>
  </r>
  <r>
    <n v="19"/>
    <s v="male"/>
    <n v="20.3"/>
    <n v="0"/>
    <s v="no"/>
    <x v="0"/>
    <n v="1242.26"/>
  </r>
  <r>
    <n v="39"/>
    <s v="male"/>
    <n v="35.299999999999997"/>
    <n v="2"/>
    <s v="yes"/>
    <x v="0"/>
    <n v="40103.89"/>
  </r>
  <r>
    <n v="53"/>
    <s v="male"/>
    <n v="24.32"/>
    <n v="0"/>
    <s v="no"/>
    <x v="2"/>
    <n v="9863.4717999999993"/>
  </r>
  <r>
    <n v="33"/>
    <s v="female"/>
    <n v="18.5"/>
    <n v="1"/>
    <s v="no"/>
    <x v="0"/>
    <n v="4766.0219999999999"/>
  </r>
  <r>
    <n v="53"/>
    <s v="male"/>
    <n v="26.41"/>
    <n v="2"/>
    <s v="no"/>
    <x v="3"/>
    <n v="11244.376899999999"/>
  </r>
  <r>
    <n v="42"/>
    <s v="male"/>
    <n v="26.125"/>
    <n v="2"/>
    <s v="no"/>
    <x v="3"/>
    <n v="7729.6457499999997"/>
  </r>
  <r>
    <n v="40"/>
    <s v="male"/>
    <n v="41.69"/>
    <n v="0"/>
    <s v="no"/>
    <x v="1"/>
    <n v="5438.7491"/>
  </r>
  <r>
    <n v="47"/>
    <s v="female"/>
    <n v="24.1"/>
    <n v="1"/>
    <s v="no"/>
    <x v="0"/>
    <n v="26236.579969999999"/>
  </r>
  <r>
    <n v="27"/>
    <s v="male"/>
    <n v="31.13"/>
    <n v="1"/>
    <s v="yes"/>
    <x v="1"/>
    <n v="34806.467700000001"/>
  </r>
  <r>
    <n v="21"/>
    <s v="male"/>
    <n v="27.36"/>
    <n v="0"/>
    <s v="no"/>
    <x v="3"/>
    <n v="2104.1134000000002"/>
  </r>
  <r>
    <n v="47"/>
    <s v="male"/>
    <n v="36.200000000000003"/>
    <n v="1"/>
    <s v="no"/>
    <x v="0"/>
    <n v="8068.1850000000004"/>
  </r>
  <r>
    <n v="20"/>
    <s v="male"/>
    <n v="32.395000000000003"/>
    <n v="1"/>
    <s v="no"/>
    <x v="2"/>
    <n v="2362.2290499999999"/>
  </r>
  <r>
    <n v="24"/>
    <s v="male"/>
    <n v="23.655000000000001"/>
    <n v="0"/>
    <s v="no"/>
    <x v="2"/>
    <n v="2352.9684499999998"/>
  </r>
  <r>
    <n v="27"/>
    <s v="female"/>
    <n v="34.799999999999997"/>
    <n v="1"/>
    <s v="no"/>
    <x v="0"/>
    <n v="3577.9989999999998"/>
  </r>
  <r>
    <n v="26"/>
    <s v="female"/>
    <n v="40.185000000000002"/>
    <n v="0"/>
    <s v="no"/>
    <x v="2"/>
    <n v="3201.2451500000002"/>
  </r>
  <r>
    <n v="53"/>
    <s v="female"/>
    <n v="32.299999999999997"/>
    <n v="2"/>
    <s v="no"/>
    <x v="3"/>
    <n v="29186.482360000002"/>
  </r>
  <r>
    <n v="41"/>
    <s v="male"/>
    <n v="35.75"/>
    <n v="1"/>
    <s v="yes"/>
    <x v="1"/>
    <n v="40273.645499999999"/>
  </r>
  <r>
    <n v="56"/>
    <s v="male"/>
    <n v="33.725000000000001"/>
    <n v="0"/>
    <s v="no"/>
    <x v="2"/>
    <n v="10976.24575"/>
  </r>
  <r>
    <n v="23"/>
    <s v="female"/>
    <n v="39.270000000000003"/>
    <n v="2"/>
    <s v="no"/>
    <x v="1"/>
    <n v="3500.6122999999998"/>
  </r>
  <r>
    <n v="21"/>
    <s v="female"/>
    <n v="34.869999999999997"/>
    <n v="0"/>
    <s v="no"/>
    <x v="1"/>
    <n v="2020.5523000000001"/>
  </r>
  <r>
    <n v="50"/>
    <s v="female"/>
    <n v="44.744999999999997"/>
    <n v="0"/>
    <s v="no"/>
    <x v="3"/>
    <n v="9541.6955500000004"/>
  </r>
  <r>
    <n v="53"/>
    <s v="male"/>
    <n v="41.47"/>
    <n v="0"/>
    <s v="no"/>
    <x v="1"/>
    <n v="9504.3102999999992"/>
  </r>
  <r>
    <n v="34"/>
    <s v="female"/>
    <n v="26.41"/>
    <n v="1"/>
    <s v="no"/>
    <x v="2"/>
    <n v="5385.3379000000004"/>
  </r>
  <r>
    <n v="47"/>
    <s v="female"/>
    <n v="29.545000000000002"/>
    <n v="1"/>
    <s v="no"/>
    <x v="2"/>
    <n v="8930.9345499999999"/>
  </r>
  <r>
    <n v="33"/>
    <s v="female"/>
    <n v="32.9"/>
    <n v="2"/>
    <s v="no"/>
    <x v="0"/>
    <n v="5375.0379999999996"/>
  </r>
  <r>
    <n v="51"/>
    <s v="female"/>
    <n v="38.06"/>
    <n v="0"/>
    <s v="yes"/>
    <x v="1"/>
    <n v="44400.4064"/>
  </r>
  <r>
    <n v="49"/>
    <s v="male"/>
    <n v="28.69"/>
    <n v="3"/>
    <s v="no"/>
    <x v="2"/>
    <n v="10264.4421"/>
  </r>
  <r>
    <n v="31"/>
    <s v="female"/>
    <n v="30.495000000000001"/>
    <n v="3"/>
    <s v="no"/>
    <x v="3"/>
    <n v="6113.2310500000003"/>
  </r>
  <r>
    <n v="36"/>
    <s v="female"/>
    <n v="27.74"/>
    <n v="0"/>
    <s v="no"/>
    <x v="3"/>
    <n v="5469.0065999999997"/>
  </r>
  <r>
    <n v="18"/>
    <s v="male"/>
    <n v="35.200000000000003"/>
    <n v="1"/>
    <s v="no"/>
    <x v="1"/>
    <n v="1727.54"/>
  </r>
  <r>
    <n v="50"/>
    <s v="female"/>
    <n v="23.54"/>
    <n v="2"/>
    <s v="no"/>
    <x v="1"/>
    <n v="10107.220600000001"/>
  </r>
  <r>
    <n v="43"/>
    <s v="female"/>
    <n v="30.684999999999999"/>
    <n v="2"/>
    <s v="no"/>
    <x v="2"/>
    <n v="8310.8391499999998"/>
  </r>
  <r>
    <n v="20"/>
    <s v="male"/>
    <n v="40.47"/>
    <n v="0"/>
    <s v="no"/>
    <x v="3"/>
    <n v="1984.4532999999999"/>
  </r>
  <r>
    <n v="24"/>
    <s v="female"/>
    <n v="22.6"/>
    <n v="0"/>
    <s v="no"/>
    <x v="0"/>
    <n v="2457.502"/>
  </r>
  <r>
    <n v="60"/>
    <s v="male"/>
    <n v="28.9"/>
    <n v="0"/>
    <s v="no"/>
    <x v="0"/>
    <n v="12146.971"/>
  </r>
  <r>
    <n v="49"/>
    <s v="female"/>
    <n v="22.61"/>
    <n v="1"/>
    <s v="no"/>
    <x v="2"/>
    <n v="9566.9909000000007"/>
  </r>
  <r>
    <n v="60"/>
    <s v="male"/>
    <n v="24.32"/>
    <n v="1"/>
    <s v="no"/>
    <x v="2"/>
    <n v="13112.604799999999"/>
  </r>
  <r>
    <n v="51"/>
    <s v="female"/>
    <n v="36.67"/>
    <n v="2"/>
    <s v="no"/>
    <x v="2"/>
    <n v="10848.1343"/>
  </r>
  <r>
    <n v="58"/>
    <s v="female"/>
    <n v="33.44"/>
    <n v="0"/>
    <s v="no"/>
    <x v="2"/>
    <n v="12231.613600000001"/>
  </r>
  <r>
    <n v="51"/>
    <s v="female"/>
    <n v="40.659999999999997"/>
    <n v="0"/>
    <s v="no"/>
    <x v="3"/>
    <n v="9875.6803999999993"/>
  </r>
  <r>
    <n v="53"/>
    <s v="male"/>
    <n v="36.6"/>
    <n v="3"/>
    <s v="no"/>
    <x v="0"/>
    <n v="11264.540999999999"/>
  </r>
  <r>
    <n v="62"/>
    <s v="male"/>
    <n v="37.4"/>
    <n v="0"/>
    <s v="no"/>
    <x v="0"/>
    <n v="12979.358"/>
  </r>
  <r>
    <n v="19"/>
    <s v="male"/>
    <n v="35.4"/>
    <n v="0"/>
    <s v="no"/>
    <x v="0"/>
    <n v="1263.249"/>
  </r>
  <r>
    <n v="50"/>
    <s v="female"/>
    <n v="27.074999999999999"/>
    <n v="1"/>
    <s v="no"/>
    <x v="3"/>
    <n v="10106.134249999999"/>
  </r>
  <r>
    <n v="30"/>
    <s v="female"/>
    <n v="39.049999999999997"/>
    <n v="3"/>
    <s v="yes"/>
    <x v="1"/>
    <n v="40932.429499999998"/>
  </r>
  <r>
    <n v="41"/>
    <s v="male"/>
    <n v="28.405000000000001"/>
    <n v="1"/>
    <s v="no"/>
    <x v="2"/>
    <n v="6664.68595"/>
  </r>
  <r>
    <n v="29"/>
    <s v="female"/>
    <n v="21.754999999999999"/>
    <n v="1"/>
    <s v="yes"/>
    <x v="3"/>
    <n v="16657.71745"/>
  </r>
  <r>
    <n v="18"/>
    <s v="female"/>
    <n v="40.28"/>
    <n v="0"/>
    <s v="no"/>
    <x v="3"/>
    <n v="2217.6012000000001"/>
  </r>
  <r>
    <n v="41"/>
    <s v="female"/>
    <n v="36.08"/>
    <n v="1"/>
    <s v="no"/>
    <x v="1"/>
    <n v="6781.3541999999998"/>
  </r>
  <r>
    <n v="35"/>
    <s v="male"/>
    <n v="24.42"/>
    <n v="3"/>
    <s v="yes"/>
    <x v="1"/>
    <n v="19361.998800000001"/>
  </r>
  <r>
    <n v="53"/>
    <s v="male"/>
    <n v="21.4"/>
    <n v="1"/>
    <s v="no"/>
    <x v="0"/>
    <n v="10065.413"/>
  </r>
  <r>
    <n v="24"/>
    <s v="female"/>
    <n v="30.1"/>
    <n v="3"/>
    <s v="no"/>
    <x v="0"/>
    <n v="4234.9269999999997"/>
  </r>
  <r>
    <n v="48"/>
    <s v="female"/>
    <n v="27.265000000000001"/>
    <n v="1"/>
    <s v="no"/>
    <x v="3"/>
    <n v="9447.2503500000003"/>
  </r>
  <r>
    <n v="59"/>
    <s v="female"/>
    <n v="32.1"/>
    <n v="3"/>
    <s v="no"/>
    <x v="0"/>
    <n v="14007.222"/>
  </r>
  <r>
    <n v="49"/>
    <s v="female"/>
    <n v="34.770000000000003"/>
    <n v="1"/>
    <s v="no"/>
    <x v="2"/>
    <n v="9583.8932999999997"/>
  </r>
  <r>
    <n v="37"/>
    <s v="female"/>
    <n v="38.39"/>
    <n v="0"/>
    <s v="yes"/>
    <x v="1"/>
    <n v="40419.019099999998"/>
  </r>
  <r>
    <n v="26"/>
    <s v="male"/>
    <n v="23.7"/>
    <n v="2"/>
    <s v="no"/>
    <x v="0"/>
    <n v="3484.3310000000001"/>
  </r>
  <r>
    <n v="23"/>
    <s v="male"/>
    <n v="31.73"/>
    <n v="3"/>
    <s v="yes"/>
    <x v="3"/>
    <n v="36189.101699999999"/>
  </r>
  <r>
    <n v="29"/>
    <s v="male"/>
    <n v="35.5"/>
    <n v="2"/>
    <s v="yes"/>
    <x v="0"/>
    <n v="44585.455869999998"/>
  </r>
  <r>
    <n v="45"/>
    <s v="male"/>
    <n v="24.035"/>
    <n v="2"/>
    <s v="no"/>
    <x v="3"/>
    <n v="8604.4836500000001"/>
  </r>
  <r>
    <n v="27"/>
    <s v="male"/>
    <n v="29.15"/>
    <n v="0"/>
    <s v="yes"/>
    <x v="1"/>
    <n v="18246.495500000001"/>
  </r>
  <r>
    <n v="53"/>
    <s v="male"/>
    <n v="34.104999999999997"/>
    <n v="0"/>
    <s v="yes"/>
    <x v="3"/>
    <n v="43254.417950000003"/>
  </r>
  <r>
    <n v="31"/>
    <s v="female"/>
    <n v="26.62"/>
    <n v="0"/>
    <s v="no"/>
    <x v="1"/>
    <n v="3757.8447999999999"/>
  </r>
  <r>
    <n v="50"/>
    <s v="male"/>
    <n v="26.41"/>
    <n v="0"/>
    <s v="no"/>
    <x v="2"/>
    <n v="8827.2098999999998"/>
  </r>
  <r>
    <n v="50"/>
    <s v="female"/>
    <n v="30.114999999999998"/>
    <n v="1"/>
    <s v="no"/>
    <x v="2"/>
    <n v="9910.3598500000007"/>
  </r>
  <r>
    <n v="34"/>
    <s v="male"/>
    <n v="27"/>
    <n v="2"/>
    <s v="no"/>
    <x v="0"/>
    <n v="11737.848840000001"/>
  </r>
  <r>
    <n v="19"/>
    <s v="male"/>
    <n v="21.754999999999999"/>
    <n v="0"/>
    <s v="no"/>
    <x v="2"/>
    <n v="1627.2824499999999"/>
  </r>
  <r>
    <n v="47"/>
    <s v="female"/>
    <n v="36"/>
    <n v="1"/>
    <s v="no"/>
    <x v="0"/>
    <n v="8556.9069999999992"/>
  </r>
  <r>
    <n v="28"/>
    <s v="male"/>
    <n v="30.875"/>
    <n v="0"/>
    <s v="no"/>
    <x v="2"/>
    <n v="3062.5082499999999"/>
  </r>
  <r>
    <n v="37"/>
    <s v="female"/>
    <n v="26.4"/>
    <n v="0"/>
    <s v="yes"/>
    <x v="1"/>
    <n v="19539.242999999999"/>
  </r>
  <r>
    <n v="21"/>
    <s v="male"/>
    <n v="28.975000000000001"/>
    <n v="0"/>
    <s v="no"/>
    <x v="2"/>
    <n v="1906.35825"/>
  </r>
  <r>
    <n v="64"/>
    <s v="male"/>
    <n v="37.905000000000001"/>
    <n v="0"/>
    <s v="no"/>
    <x v="2"/>
    <n v="14210.53595"/>
  </r>
  <r>
    <n v="58"/>
    <s v="female"/>
    <n v="22.77"/>
    <n v="0"/>
    <s v="no"/>
    <x v="1"/>
    <n v="11833.782300000001"/>
  </r>
  <r>
    <n v="24"/>
    <s v="male"/>
    <n v="33.630000000000003"/>
    <n v="4"/>
    <s v="no"/>
    <x v="3"/>
    <n v="17128.426080000001"/>
  </r>
  <r>
    <n v="31"/>
    <s v="male"/>
    <n v="27.645"/>
    <n v="2"/>
    <s v="no"/>
    <x v="3"/>
    <n v="5031.26955"/>
  </r>
  <r>
    <n v="39"/>
    <s v="female"/>
    <n v="22.8"/>
    <n v="3"/>
    <s v="no"/>
    <x v="3"/>
    <n v="7985.8149999999996"/>
  </r>
  <r>
    <n v="47"/>
    <s v="female"/>
    <n v="27.83"/>
    <n v="0"/>
    <s v="yes"/>
    <x v="1"/>
    <n v="23065.420699999999"/>
  </r>
  <r>
    <n v="30"/>
    <s v="male"/>
    <n v="37.43"/>
    <n v="3"/>
    <s v="no"/>
    <x v="3"/>
    <n v="5428.7277000000004"/>
  </r>
  <r>
    <n v="18"/>
    <s v="male"/>
    <n v="38.17"/>
    <n v="0"/>
    <s v="yes"/>
    <x v="1"/>
    <n v="36307.798300000002"/>
  </r>
  <r>
    <n v="22"/>
    <s v="female"/>
    <n v="34.58"/>
    <n v="2"/>
    <s v="no"/>
    <x v="3"/>
    <n v="3925.7582000000002"/>
  </r>
  <r>
    <n v="23"/>
    <s v="male"/>
    <n v="35.200000000000003"/>
    <n v="1"/>
    <s v="no"/>
    <x v="0"/>
    <n v="2416.9549999999999"/>
  </r>
  <r>
    <n v="33"/>
    <s v="male"/>
    <n v="27.1"/>
    <n v="1"/>
    <s v="yes"/>
    <x v="0"/>
    <n v="19040.876"/>
  </r>
  <r>
    <n v="27"/>
    <s v="male"/>
    <n v="26.03"/>
    <n v="0"/>
    <s v="no"/>
    <x v="3"/>
    <n v="3070.8087"/>
  </r>
  <r>
    <n v="45"/>
    <s v="female"/>
    <n v="25.175000000000001"/>
    <n v="2"/>
    <s v="no"/>
    <x v="3"/>
    <n v="9095.0682500000003"/>
  </r>
  <r>
    <n v="57"/>
    <s v="female"/>
    <n v="31.824999999999999"/>
    <n v="0"/>
    <s v="no"/>
    <x v="2"/>
    <n v="11842.623750000001"/>
  </r>
  <r>
    <n v="47"/>
    <s v="male"/>
    <n v="32.299999999999997"/>
    <n v="1"/>
    <s v="no"/>
    <x v="0"/>
    <n v="8062.7640000000001"/>
  </r>
  <r>
    <n v="42"/>
    <s v="female"/>
    <n v="29"/>
    <n v="1"/>
    <s v="no"/>
    <x v="0"/>
    <n v="7050.6419999999998"/>
  </r>
  <r>
    <n v="64"/>
    <s v="female"/>
    <n v="39.700000000000003"/>
    <n v="0"/>
    <s v="no"/>
    <x v="0"/>
    <n v="14319.031000000001"/>
  </r>
  <r>
    <n v="38"/>
    <s v="female"/>
    <n v="19.475000000000001"/>
    <n v="2"/>
    <s v="no"/>
    <x v="2"/>
    <n v="6933.2422500000002"/>
  </r>
  <r>
    <n v="61"/>
    <s v="male"/>
    <n v="36.1"/>
    <n v="3"/>
    <s v="no"/>
    <x v="0"/>
    <n v="27941.28758"/>
  </r>
  <r>
    <n v="53"/>
    <s v="female"/>
    <n v="26.7"/>
    <n v="2"/>
    <s v="no"/>
    <x v="0"/>
    <n v="11150.78"/>
  </r>
  <r>
    <n v="44"/>
    <s v="female"/>
    <n v="36.479999999999997"/>
    <n v="0"/>
    <s v="no"/>
    <x v="3"/>
    <n v="12797.20962"/>
  </r>
  <r>
    <n v="19"/>
    <s v="female"/>
    <n v="28.88"/>
    <n v="0"/>
    <s v="yes"/>
    <x v="2"/>
    <n v="17748.5062"/>
  </r>
  <r>
    <n v="41"/>
    <s v="male"/>
    <n v="34.200000000000003"/>
    <n v="2"/>
    <s v="no"/>
    <x v="2"/>
    <n v="7261.741"/>
  </r>
  <r>
    <n v="51"/>
    <s v="male"/>
    <n v="33.33"/>
    <n v="3"/>
    <s v="no"/>
    <x v="1"/>
    <n v="10560.4917"/>
  </r>
  <r>
    <n v="40"/>
    <s v="male"/>
    <n v="32.299999999999997"/>
    <n v="2"/>
    <s v="no"/>
    <x v="2"/>
    <n v="6986.6970000000001"/>
  </r>
  <r>
    <n v="45"/>
    <s v="male"/>
    <n v="39.805"/>
    <n v="0"/>
    <s v="no"/>
    <x v="3"/>
    <n v="7448.4039499999999"/>
  </r>
  <r>
    <n v="35"/>
    <s v="male"/>
    <n v="34.32"/>
    <n v="3"/>
    <s v="no"/>
    <x v="1"/>
    <n v="5934.3797999999997"/>
  </r>
  <r>
    <n v="53"/>
    <s v="male"/>
    <n v="28.88"/>
    <n v="0"/>
    <s v="no"/>
    <x v="2"/>
    <n v="9869.8101999999999"/>
  </r>
  <r>
    <n v="30"/>
    <s v="male"/>
    <n v="24.4"/>
    <n v="3"/>
    <s v="yes"/>
    <x v="0"/>
    <n v="18259.216"/>
  </r>
  <r>
    <n v="18"/>
    <s v="male"/>
    <n v="41.14"/>
    <n v="0"/>
    <s v="no"/>
    <x v="1"/>
    <n v="1146.7965999999999"/>
  </r>
  <r>
    <n v="51"/>
    <s v="male"/>
    <n v="35.97"/>
    <n v="1"/>
    <s v="no"/>
    <x v="1"/>
    <n v="9386.1612999999998"/>
  </r>
  <r>
    <n v="50"/>
    <s v="female"/>
    <n v="27.6"/>
    <n v="1"/>
    <s v="yes"/>
    <x v="0"/>
    <n v="24520.263999999999"/>
  </r>
  <r>
    <n v="31"/>
    <s v="female"/>
    <n v="29.26"/>
    <n v="1"/>
    <s v="no"/>
    <x v="1"/>
    <n v="4350.5144"/>
  </r>
  <r>
    <n v="35"/>
    <s v="female"/>
    <n v="27.7"/>
    <n v="3"/>
    <s v="no"/>
    <x v="0"/>
    <n v="6414.1779999999999"/>
  </r>
  <r>
    <n v="60"/>
    <s v="male"/>
    <n v="36.954999999999998"/>
    <n v="0"/>
    <s v="no"/>
    <x v="3"/>
    <n v="12741.167450000001"/>
  </r>
  <r>
    <n v="21"/>
    <s v="male"/>
    <n v="36.86"/>
    <n v="0"/>
    <s v="no"/>
    <x v="2"/>
    <n v="1917.3184000000001"/>
  </r>
  <r>
    <n v="29"/>
    <s v="male"/>
    <n v="22.515000000000001"/>
    <n v="3"/>
    <s v="no"/>
    <x v="3"/>
    <n v="5209.5788499999999"/>
  </r>
  <r>
    <n v="62"/>
    <s v="female"/>
    <n v="29.92"/>
    <n v="0"/>
    <s v="no"/>
    <x v="1"/>
    <n v="13457.960800000001"/>
  </r>
  <r>
    <n v="39"/>
    <s v="female"/>
    <n v="41.8"/>
    <n v="0"/>
    <s v="no"/>
    <x v="1"/>
    <n v="5662.2250000000004"/>
  </r>
  <r>
    <n v="19"/>
    <s v="male"/>
    <n v="27.6"/>
    <n v="0"/>
    <s v="no"/>
    <x v="0"/>
    <n v="1252.4069999999999"/>
  </r>
  <r>
    <n v="22"/>
    <s v="female"/>
    <n v="23.18"/>
    <n v="0"/>
    <s v="no"/>
    <x v="3"/>
    <n v="2731.9122000000002"/>
  </r>
  <r>
    <n v="53"/>
    <s v="male"/>
    <n v="20.9"/>
    <n v="0"/>
    <s v="yes"/>
    <x v="1"/>
    <n v="21195.817999999999"/>
  </r>
  <r>
    <n v="39"/>
    <s v="female"/>
    <n v="31.92"/>
    <n v="2"/>
    <s v="no"/>
    <x v="2"/>
    <n v="7209.4917999999998"/>
  </r>
  <r>
    <n v="27"/>
    <s v="male"/>
    <n v="28.5"/>
    <n v="0"/>
    <s v="yes"/>
    <x v="2"/>
    <n v="18310.741999999998"/>
  </r>
  <r>
    <n v="30"/>
    <s v="male"/>
    <n v="44.22"/>
    <n v="2"/>
    <s v="no"/>
    <x v="1"/>
    <n v="4266.1657999999998"/>
  </r>
  <r>
    <n v="30"/>
    <s v="female"/>
    <n v="22.895"/>
    <n v="1"/>
    <s v="no"/>
    <x v="3"/>
    <n v="4719.52405"/>
  </r>
  <r>
    <n v="58"/>
    <s v="female"/>
    <n v="33.1"/>
    <n v="0"/>
    <s v="no"/>
    <x v="0"/>
    <n v="11848.141"/>
  </r>
  <r>
    <n v="33"/>
    <s v="male"/>
    <n v="24.795000000000002"/>
    <n v="0"/>
    <s v="yes"/>
    <x v="3"/>
    <n v="17904.527050000001"/>
  </r>
  <r>
    <n v="42"/>
    <s v="female"/>
    <n v="26.18"/>
    <n v="1"/>
    <s v="no"/>
    <x v="1"/>
    <n v="7046.7222000000002"/>
  </r>
  <r>
    <n v="64"/>
    <s v="female"/>
    <n v="35.97"/>
    <n v="0"/>
    <s v="no"/>
    <x v="1"/>
    <n v="14313.846299999999"/>
  </r>
  <r>
    <n v="21"/>
    <s v="male"/>
    <n v="22.3"/>
    <n v="1"/>
    <s v="no"/>
    <x v="0"/>
    <n v="2103.08"/>
  </r>
  <r>
    <n v="18"/>
    <s v="female"/>
    <n v="42.24"/>
    <n v="0"/>
    <s v="yes"/>
    <x v="1"/>
    <n v="38792.685599999997"/>
  </r>
  <r>
    <n v="23"/>
    <s v="male"/>
    <n v="26.51"/>
    <n v="0"/>
    <s v="no"/>
    <x v="1"/>
    <n v="1815.8759"/>
  </r>
  <r>
    <n v="45"/>
    <s v="female"/>
    <n v="35.814999999999998"/>
    <n v="0"/>
    <s v="no"/>
    <x v="2"/>
    <n v="7731.8578500000003"/>
  </r>
  <r>
    <n v="40"/>
    <s v="female"/>
    <n v="41.42"/>
    <n v="1"/>
    <s v="no"/>
    <x v="2"/>
    <n v="28476.734990000001"/>
  </r>
  <r>
    <n v="19"/>
    <s v="female"/>
    <n v="36.575000000000003"/>
    <n v="0"/>
    <s v="no"/>
    <x v="2"/>
    <n v="2136.8822500000001"/>
  </r>
  <r>
    <n v="18"/>
    <s v="male"/>
    <n v="30.14"/>
    <n v="0"/>
    <s v="no"/>
    <x v="1"/>
    <n v="1131.5065999999999"/>
  </r>
  <r>
    <n v="25"/>
    <s v="male"/>
    <n v="25.84"/>
    <n v="1"/>
    <s v="no"/>
    <x v="3"/>
    <n v="3309.7926000000002"/>
  </r>
  <r>
    <n v="46"/>
    <s v="female"/>
    <n v="30.8"/>
    <n v="3"/>
    <s v="no"/>
    <x v="0"/>
    <n v="9414.92"/>
  </r>
  <r>
    <n v="33"/>
    <s v="female"/>
    <n v="42.94"/>
    <n v="3"/>
    <s v="no"/>
    <x v="2"/>
    <n v="6360.9935999999998"/>
  </r>
  <r>
    <n v="54"/>
    <s v="male"/>
    <n v="21.01"/>
    <n v="2"/>
    <s v="no"/>
    <x v="1"/>
    <n v="11013.7119"/>
  </r>
  <r>
    <n v="28"/>
    <s v="male"/>
    <n v="22.515000000000001"/>
    <n v="2"/>
    <s v="no"/>
    <x v="3"/>
    <n v="4428.8878500000001"/>
  </r>
  <r>
    <n v="36"/>
    <s v="male"/>
    <n v="34.43"/>
    <n v="2"/>
    <s v="no"/>
    <x v="1"/>
    <n v="5584.3056999999999"/>
  </r>
  <r>
    <n v="20"/>
    <s v="female"/>
    <n v="31.46"/>
    <n v="0"/>
    <s v="no"/>
    <x v="1"/>
    <n v="1877.9294"/>
  </r>
  <r>
    <n v="24"/>
    <s v="female"/>
    <n v="24.225000000000001"/>
    <n v="0"/>
    <s v="no"/>
    <x v="2"/>
    <n v="2842.7607499999999"/>
  </r>
  <r>
    <n v="23"/>
    <s v="male"/>
    <n v="37.1"/>
    <n v="3"/>
    <s v="no"/>
    <x v="0"/>
    <n v="3597.596"/>
  </r>
  <r>
    <n v="47"/>
    <s v="female"/>
    <n v="26.125"/>
    <n v="1"/>
    <s v="yes"/>
    <x v="3"/>
    <n v="23401.30575"/>
  </r>
  <r>
    <n v="33"/>
    <s v="female"/>
    <n v="35.53"/>
    <n v="0"/>
    <s v="yes"/>
    <x v="2"/>
    <n v="55135.402090000003"/>
  </r>
  <r>
    <n v="45"/>
    <s v="male"/>
    <n v="33.700000000000003"/>
    <n v="1"/>
    <s v="no"/>
    <x v="0"/>
    <n v="7445.9179999999997"/>
  </r>
  <r>
    <n v="26"/>
    <s v="male"/>
    <n v="17.670000000000002"/>
    <n v="0"/>
    <s v="no"/>
    <x v="2"/>
    <n v="2680.9493000000002"/>
  </r>
  <r>
    <n v="18"/>
    <s v="female"/>
    <n v="31.13"/>
    <n v="0"/>
    <s v="no"/>
    <x v="1"/>
    <n v="1621.8827000000001"/>
  </r>
  <r>
    <n v="44"/>
    <s v="female"/>
    <n v="29.81"/>
    <n v="2"/>
    <s v="no"/>
    <x v="1"/>
    <n v="8219.2039000000004"/>
  </r>
  <r>
    <n v="60"/>
    <s v="male"/>
    <n v="24.32"/>
    <n v="0"/>
    <s v="no"/>
    <x v="2"/>
    <n v="12523.604799999999"/>
  </r>
  <r>
    <n v="64"/>
    <s v="female"/>
    <n v="31.824999999999999"/>
    <n v="2"/>
    <s v="no"/>
    <x v="3"/>
    <n v="16069.08475"/>
  </r>
  <r>
    <n v="56"/>
    <s v="male"/>
    <n v="31.79"/>
    <n v="2"/>
    <s v="yes"/>
    <x v="1"/>
    <n v="43813.866099999999"/>
  </r>
  <r>
    <n v="36"/>
    <s v="male"/>
    <n v="28.024999999999999"/>
    <n v="1"/>
    <s v="yes"/>
    <x v="3"/>
    <n v="20773.62775"/>
  </r>
  <r>
    <n v="41"/>
    <s v="male"/>
    <n v="30.78"/>
    <n v="3"/>
    <s v="yes"/>
    <x v="3"/>
    <n v="39597.407200000001"/>
  </r>
  <r>
    <n v="39"/>
    <s v="male"/>
    <n v="21.85"/>
    <n v="1"/>
    <s v="no"/>
    <x v="2"/>
    <n v="6117.4944999999998"/>
  </r>
  <r>
    <n v="63"/>
    <s v="male"/>
    <n v="33.1"/>
    <n v="0"/>
    <s v="no"/>
    <x v="0"/>
    <n v="13393.755999999999"/>
  </r>
  <r>
    <n v="36"/>
    <s v="female"/>
    <n v="25.84"/>
    <n v="0"/>
    <s v="no"/>
    <x v="2"/>
    <n v="5266.3656000000001"/>
  </r>
  <r>
    <n v="28"/>
    <s v="female"/>
    <n v="23.844999999999999"/>
    <n v="2"/>
    <s v="no"/>
    <x v="2"/>
    <n v="4719.7365499999996"/>
  </r>
  <r>
    <n v="58"/>
    <s v="male"/>
    <n v="34.39"/>
    <n v="0"/>
    <s v="no"/>
    <x v="2"/>
    <n v="11743.9341"/>
  </r>
  <r>
    <n v="36"/>
    <s v="male"/>
    <n v="33.82"/>
    <n v="1"/>
    <s v="no"/>
    <x v="2"/>
    <n v="5377.4578000000001"/>
  </r>
  <r>
    <n v="42"/>
    <s v="male"/>
    <n v="35.97"/>
    <n v="2"/>
    <s v="no"/>
    <x v="1"/>
    <n v="7160.3302999999996"/>
  </r>
  <r>
    <n v="36"/>
    <s v="male"/>
    <n v="31.5"/>
    <n v="0"/>
    <s v="no"/>
    <x v="0"/>
    <n v="4402.2330000000002"/>
  </r>
  <r>
    <n v="56"/>
    <s v="female"/>
    <n v="28.31"/>
    <n v="0"/>
    <s v="no"/>
    <x v="3"/>
    <n v="11657.7189"/>
  </r>
  <r>
    <n v="35"/>
    <s v="female"/>
    <n v="23.465"/>
    <n v="2"/>
    <s v="no"/>
    <x v="3"/>
    <n v="6402.2913500000004"/>
  </r>
  <r>
    <n v="59"/>
    <s v="female"/>
    <n v="31.35"/>
    <n v="0"/>
    <s v="no"/>
    <x v="2"/>
    <n v="12622.1795"/>
  </r>
  <r>
    <n v="21"/>
    <s v="male"/>
    <n v="31.1"/>
    <n v="0"/>
    <s v="no"/>
    <x v="0"/>
    <n v="1526.3119999999999"/>
  </r>
  <r>
    <n v="59"/>
    <s v="male"/>
    <n v="24.7"/>
    <n v="0"/>
    <s v="no"/>
    <x v="3"/>
    <n v="12323.936"/>
  </r>
  <r>
    <n v="23"/>
    <s v="female"/>
    <n v="32.78"/>
    <n v="2"/>
    <s v="yes"/>
    <x v="1"/>
    <n v="36021.011200000001"/>
  </r>
  <r>
    <n v="57"/>
    <s v="female"/>
    <n v="29.81"/>
    <n v="0"/>
    <s v="yes"/>
    <x v="1"/>
    <n v="27533.912899999999"/>
  </r>
  <r>
    <n v="53"/>
    <s v="male"/>
    <n v="30.495000000000001"/>
    <n v="0"/>
    <s v="no"/>
    <x v="3"/>
    <n v="10072.055050000001"/>
  </r>
  <r>
    <n v="60"/>
    <s v="female"/>
    <n v="32.450000000000003"/>
    <n v="0"/>
    <s v="yes"/>
    <x v="1"/>
    <n v="45008.955499999996"/>
  </r>
  <r>
    <n v="51"/>
    <s v="female"/>
    <n v="34.200000000000003"/>
    <n v="1"/>
    <s v="no"/>
    <x v="0"/>
    <n v="9872.7009999999991"/>
  </r>
  <r>
    <n v="23"/>
    <s v="male"/>
    <n v="50.38"/>
    <n v="1"/>
    <s v="no"/>
    <x v="1"/>
    <n v="2438.0551999999998"/>
  </r>
  <r>
    <n v="27"/>
    <s v="female"/>
    <n v="24.1"/>
    <n v="0"/>
    <s v="no"/>
    <x v="0"/>
    <n v="2974.1260000000002"/>
  </r>
  <r>
    <n v="55"/>
    <s v="male"/>
    <n v="32.774999999999999"/>
    <n v="0"/>
    <s v="no"/>
    <x v="2"/>
    <n v="10601.632250000001"/>
  </r>
  <r>
    <n v="37"/>
    <s v="female"/>
    <n v="30.78"/>
    <n v="0"/>
    <s v="yes"/>
    <x v="3"/>
    <n v="37270.1512"/>
  </r>
  <r>
    <n v="61"/>
    <s v="male"/>
    <n v="32.299999999999997"/>
    <n v="2"/>
    <s v="no"/>
    <x v="2"/>
    <n v="14119.62"/>
  </r>
  <r>
    <n v="46"/>
    <s v="female"/>
    <n v="35.53"/>
    <n v="0"/>
    <s v="yes"/>
    <x v="3"/>
    <n v="42111.664700000001"/>
  </r>
  <r>
    <n v="53"/>
    <s v="female"/>
    <n v="23.75"/>
    <n v="2"/>
    <s v="no"/>
    <x v="3"/>
    <n v="11729.6795"/>
  </r>
  <r>
    <n v="49"/>
    <s v="female"/>
    <n v="23.844999999999999"/>
    <n v="3"/>
    <s v="yes"/>
    <x v="3"/>
    <n v="24106.912550000001"/>
  </r>
  <r>
    <n v="20"/>
    <s v="female"/>
    <n v="29.6"/>
    <n v="0"/>
    <s v="no"/>
    <x v="0"/>
    <n v="1875.3440000000001"/>
  </r>
  <r>
    <n v="48"/>
    <s v="female"/>
    <n v="33.11"/>
    <n v="0"/>
    <s v="yes"/>
    <x v="1"/>
    <n v="40974.164900000003"/>
  </r>
  <r>
    <n v="25"/>
    <s v="male"/>
    <n v="24.13"/>
    <n v="0"/>
    <s v="yes"/>
    <x v="2"/>
    <n v="15817.985699999999"/>
  </r>
  <r>
    <n v="25"/>
    <s v="female"/>
    <n v="32.229999999999997"/>
    <n v="1"/>
    <s v="no"/>
    <x v="1"/>
    <n v="18218.161390000001"/>
  </r>
  <r>
    <n v="57"/>
    <s v="male"/>
    <n v="28.1"/>
    <n v="0"/>
    <s v="no"/>
    <x v="0"/>
    <n v="10965.446"/>
  </r>
  <r>
    <n v="37"/>
    <s v="female"/>
    <n v="47.6"/>
    <n v="2"/>
    <s v="yes"/>
    <x v="0"/>
    <n v="46113.510999999999"/>
  </r>
  <r>
    <n v="38"/>
    <s v="female"/>
    <n v="28"/>
    <n v="3"/>
    <s v="no"/>
    <x v="0"/>
    <n v="7151.0919999999996"/>
  </r>
  <r>
    <n v="55"/>
    <s v="female"/>
    <n v="33.534999999999997"/>
    <n v="2"/>
    <s v="no"/>
    <x v="2"/>
    <n v="12269.68865"/>
  </r>
  <r>
    <n v="36"/>
    <s v="female"/>
    <n v="19.855"/>
    <n v="0"/>
    <s v="no"/>
    <x v="3"/>
    <n v="5458.0464499999998"/>
  </r>
  <r>
    <n v="51"/>
    <s v="male"/>
    <n v="25.4"/>
    <n v="0"/>
    <s v="no"/>
    <x v="0"/>
    <n v="8782.4689999999991"/>
  </r>
  <r>
    <n v="40"/>
    <s v="male"/>
    <n v="29.9"/>
    <n v="2"/>
    <s v="no"/>
    <x v="0"/>
    <n v="6600.3609999999999"/>
  </r>
  <r>
    <n v="18"/>
    <s v="male"/>
    <n v="37.29"/>
    <n v="0"/>
    <s v="no"/>
    <x v="1"/>
    <n v="1141.4450999999999"/>
  </r>
  <r>
    <n v="57"/>
    <s v="male"/>
    <n v="43.7"/>
    <n v="1"/>
    <s v="no"/>
    <x v="0"/>
    <n v="11576.13"/>
  </r>
  <r>
    <n v="61"/>
    <s v="male"/>
    <n v="23.655000000000001"/>
    <n v="0"/>
    <s v="no"/>
    <x v="3"/>
    <n v="13129.603450000001"/>
  </r>
  <r>
    <n v="25"/>
    <s v="female"/>
    <n v="24.3"/>
    <n v="3"/>
    <s v="no"/>
    <x v="0"/>
    <n v="4391.652"/>
  </r>
  <r>
    <n v="50"/>
    <s v="male"/>
    <n v="36.200000000000003"/>
    <n v="0"/>
    <s v="no"/>
    <x v="0"/>
    <n v="8457.8179999999993"/>
  </r>
  <r>
    <n v="26"/>
    <s v="female"/>
    <n v="29.48"/>
    <n v="1"/>
    <s v="no"/>
    <x v="1"/>
    <n v="3392.3652000000002"/>
  </r>
  <r>
    <n v="42"/>
    <s v="male"/>
    <n v="24.86"/>
    <n v="0"/>
    <s v="no"/>
    <x v="1"/>
    <n v="5966.8873999999996"/>
  </r>
  <r>
    <n v="43"/>
    <s v="male"/>
    <n v="30.1"/>
    <n v="1"/>
    <s v="no"/>
    <x v="0"/>
    <n v="6849.0259999999998"/>
  </r>
  <r>
    <n v="44"/>
    <s v="male"/>
    <n v="21.85"/>
    <n v="3"/>
    <s v="no"/>
    <x v="3"/>
    <n v="8891.1394999999993"/>
  </r>
  <r>
    <n v="23"/>
    <s v="female"/>
    <n v="28.12"/>
    <n v="0"/>
    <s v="no"/>
    <x v="2"/>
    <n v="2690.1138000000001"/>
  </r>
  <r>
    <n v="49"/>
    <s v="female"/>
    <n v="27.1"/>
    <n v="1"/>
    <s v="no"/>
    <x v="0"/>
    <n v="26140.3603"/>
  </r>
  <r>
    <n v="33"/>
    <s v="male"/>
    <n v="33.44"/>
    <n v="5"/>
    <s v="no"/>
    <x v="1"/>
    <n v="6653.7885999999999"/>
  </r>
  <r>
    <n v="41"/>
    <s v="male"/>
    <n v="28.8"/>
    <n v="1"/>
    <s v="no"/>
    <x v="0"/>
    <n v="6282.2349999999997"/>
  </r>
  <r>
    <n v="37"/>
    <s v="female"/>
    <n v="29.5"/>
    <n v="2"/>
    <s v="no"/>
    <x v="0"/>
    <n v="6311.9520000000002"/>
  </r>
  <r>
    <n v="22"/>
    <s v="male"/>
    <n v="34.799999999999997"/>
    <n v="3"/>
    <s v="no"/>
    <x v="0"/>
    <n v="3443.0639999999999"/>
  </r>
  <r>
    <n v="23"/>
    <s v="male"/>
    <n v="27.36"/>
    <n v="1"/>
    <s v="no"/>
    <x v="2"/>
    <n v="2789.0574000000001"/>
  </r>
  <r>
    <n v="21"/>
    <s v="female"/>
    <n v="22.135000000000002"/>
    <n v="0"/>
    <s v="no"/>
    <x v="3"/>
    <n v="2585.8506499999999"/>
  </r>
  <r>
    <n v="51"/>
    <s v="female"/>
    <n v="37.049999999999997"/>
    <n v="3"/>
    <s v="yes"/>
    <x v="3"/>
    <n v="46255.112500000003"/>
  </r>
  <r>
    <n v="25"/>
    <s v="male"/>
    <n v="26.695"/>
    <n v="4"/>
    <s v="no"/>
    <x v="2"/>
    <n v="4877.9810500000003"/>
  </r>
  <r>
    <n v="32"/>
    <s v="male"/>
    <n v="28.93"/>
    <n v="1"/>
    <s v="yes"/>
    <x v="1"/>
    <n v="19719.6947"/>
  </r>
  <r>
    <n v="57"/>
    <s v="male"/>
    <n v="28.975000000000001"/>
    <n v="0"/>
    <s v="yes"/>
    <x v="3"/>
    <n v="27218.437249999999"/>
  </r>
  <r>
    <n v="36"/>
    <s v="female"/>
    <n v="30.02"/>
    <n v="0"/>
    <s v="no"/>
    <x v="2"/>
    <n v="5272.1758"/>
  </r>
  <r>
    <n v="22"/>
    <s v="male"/>
    <n v="39.5"/>
    <n v="0"/>
    <s v="no"/>
    <x v="0"/>
    <n v="1682.597"/>
  </r>
  <r>
    <n v="57"/>
    <s v="male"/>
    <n v="33.630000000000003"/>
    <n v="1"/>
    <s v="no"/>
    <x v="2"/>
    <n v="11945.1327"/>
  </r>
  <r>
    <n v="64"/>
    <s v="female"/>
    <n v="26.885000000000002"/>
    <n v="0"/>
    <s v="yes"/>
    <x v="2"/>
    <n v="29330.98315"/>
  </r>
  <r>
    <n v="36"/>
    <s v="female"/>
    <n v="29.04"/>
    <n v="4"/>
    <s v="no"/>
    <x v="1"/>
    <n v="7243.8136000000004"/>
  </r>
  <r>
    <n v="54"/>
    <s v="male"/>
    <n v="24.035"/>
    <n v="0"/>
    <s v="no"/>
    <x v="3"/>
    <n v="10422.916649999999"/>
  </r>
  <r>
    <n v="47"/>
    <s v="male"/>
    <n v="38.94"/>
    <n v="2"/>
    <s v="yes"/>
    <x v="1"/>
    <n v="44202.653599999998"/>
  </r>
  <r>
    <n v="62"/>
    <s v="male"/>
    <n v="32.11"/>
    <n v="0"/>
    <s v="no"/>
    <x v="3"/>
    <n v="13555.0049"/>
  </r>
  <r>
    <n v="61"/>
    <s v="female"/>
    <n v="44"/>
    <n v="0"/>
    <s v="no"/>
    <x v="0"/>
    <n v="13063.883"/>
  </r>
  <r>
    <n v="43"/>
    <s v="female"/>
    <n v="20.045000000000002"/>
    <n v="2"/>
    <s v="yes"/>
    <x v="3"/>
    <n v="19798.054550000001"/>
  </r>
  <r>
    <n v="19"/>
    <s v="male"/>
    <n v="25.555"/>
    <n v="1"/>
    <s v="no"/>
    <x v="2"/>
    <n v="2221.5644499999999"/>
  </r>
  <r>
    <n v="18"/>
    <s v="female"/>
    <n v="40.26"/>
    <n v="0"/>
    <s v="no"/>
    <x v="1"/>
    <n v="1634.5734"/>
  </r>
  <r>
    <n v="19"/>
    <s v="female"/>
    <n v="22.515000000000001"/>
    <n v="0"/>
    <s v="no"/>
    <x v="2"/>
    <n v="2117.3388500000001"/>
  </r>
  <r>
    <n v="49"/>
    <s v="male"/>
    <n v="22.515000000000001"/>
    <n v="0"/>
    <s v="no"/>
    <x v="3"/>
    <n v="8688.8588500000005"/>
  </r>
  <r>
    <n v="60"/>
    <s v="male"/>
    <n v="40.92"/>
    <n v="0"/>
    <s v="yes"/>
    <x v="1"/>
    <n v="48673.558799999999"/>
  </r>
  <r>
    <n v="26"/>
    <s v="male"/>
    <n v="27.265000000000001"/>
    <n v="3"/>
    <s v="no"/>
    <x v="3"/>
    <n v="4661.2863500000003"/>
  </r>
  <r>
    <n v="49"/>
    <s v="male"/>
    <n v="36.85"/>
    <n v="0"/>
    <s v="no"/>
    <x v="1"/>
    <n v="8125.7844999999998"/>
  </r>
  <r>
    <n v="60"/>
    <s v="female"/>
    <n v="35.1"/>
    <n v="0"/>
    <s v="no"/>
    <x v="0"/>
    <n v="12644.589"/>
  </r>
  <r>
    <n v="26"/>
    <s v="female"/>
    <n v="29.355"/>
    <n v="2"/>
    <s v="no"/>
    <x v="3"/>
    <n v="4564.1914500000003"/>
  </r>
  <r>
    <n v="27"/>
    <s v="male"/>
    <n v="32.585000000000001"/>
    <n v="3"/>
    <s v="no"/>
    <x v="3"/>
    <n v="4846.9201499999999"/>
  </r>
  <r>
    <n v="44"/>
    <s v="female"/>
    <n v="32.340000000000003"/>
    <n v="1"/>
    <s v="no"/>
    <x v="1"/>
    <n v="7633.7205999999996"/>
  </r>
  <r>
    <n v="63"/>
    <s v="male"/>
    <n v="39.799999999999997"/>
    <n v="3"/>
    <s v="no"/>
    <x v="0"/>
    <n v="15170.069"/>
  </r>
  <r>
    <n v="32"/>
    <s v="female"/>
    <n v="24.6"/>
    <n v="0"/>
    <s v="yes"/>
    <x v="0"/>
    <n v="17496.306"/>
  </r>
  <r>
    <n v="22"/>
    <s v="male"/>
    <n v="28.31"/>
    <n v="1"/>
    <s v="no"/>
    <x v="2"/>
    <n v="2639.0428999999999"/>
  </r>
  <r>
    <n v="18"/>
    <s v="male"/>
    <n v="31.73"/>
    <n v="0"/>
    <s v="yes"/>
    <x v="3"/>
    <n v="33732.686699999998"/>
  </r>
  <r>
    <n v="59"/>
    <s v="female"/>
    <n v="26.695"/>
    <n v="3"/>
    <s v="no"/>
    <x v="2"/>
    <n v="14382.709049999999"/>
  </r>
  <r>
    <n v="44"/>
    <s v="female"/>
    <n v="27.5"/>
    <n v="1"/>
    <s v="no"/>
    <x v="0"/>
    <n v="7626.9930000000004"/>
  </r>
  <r>
    <n v="33"/>
    <s v="male"/>
    <n v="24.605"/>
    <n v="2"/>
    <s v="no"/>
    <x v="2"/>
    <n v="5257.5079500000002"/>
  </r>
  <r>
    <n v="24"/>
    <s v="female"/>
    <n v="33.99"/>
    <n v="0"/>
    <s v="no"/>
    <x v="1"/>
    <n v="2473.3341"/>
  </r>
  <r>
    <n v="43"/>
    <s v="female"/>
    <n v="26.885000000000002"/>
    <n v="0"/>
    <s v="yes"/>
    <x v="2"/>
    <n v="21774.32215"/>
  </r>
  <r>
    <n v="45"/>
    <s v="male"/>
    <n v="22.895"/>
    <n v="0"/>
    <s v="yes"/>
    <x v="3"/>
    <n v="35069.374519999998"/>
  </r>
  <r>
    <n v="61"/>
    <s v="female"/>
    <n v="28.2"/>
    <n v="0"/>
    <s v="no"/>
    <x v="0"/>
    <n v="13041.921"/>
  </r>
  <r>
    <n v="35"/>
    <s v="female"/>
    <n v="34.21"/>
    <n v="1"/>
    <s v="no"/>
    <x v="1"/>
    <n v="5245.2268999999997"/>
  </r>
  <r>
    <n v="62"/>
    <s v="female"/>
    <n v="25"/>
    <n v="0"/>
    <s v="no"/>
    <x v="0"/>
    <n v="13451.121999999999"/>
  </r>
  <r>
    <n v="62"/>
    <s v="female"/>
    <n v="33.200000000000003"/>
    <n v="0"/>
    <s v="no"/>
    <x v="0"/>
    <n v="13462.52"/>
  </r>
  <r>
    <n v="38"/>
    <s v="male"/>
    <n v="31"/>
    <n v="1"/>
    <s v="no"/>
    <x v="0"/>
    <n v="5488.2619999999997"/>
  </r>
  <r>
    <n v="34"/>
    <s v="male"/>
    <n v="35.814999999999998"/>
    <n v="0"/>
    <s v="no"/>
    <x v="2"/>
    <n v="4320.4108500000002"/>
  </r>
  <r>
    <n v="43"/>
    <s v="male"/>
    <n v="23.2"/>
    <n v="0"/>
    <s v="no"/>
    <x v="0"/>
    <n v="6250.4350000000004"/>
  </r>
  <r>
    <n v="50"/>
    <s v="male"/>
    <n v="32.11"/>
    <n v="2"/>
    <s v="no"/>
    <x v="3"/>
    <n v="25333.332839999999"/>
  </r>
  <r>
    <n v="19"/>
    <s v="female"/>
    <n v="23.4"/>
    <n v="2"/>
    <s v="no"/>
    <x v="0"/>
    <n v="2913.569"/>
  </r>
  <r>
    <n v="57"/>
    <s v="female"/>
    <n v="20.100000000000001"/>
    <n v="1"/>
    <s v="no"/>
    <x v="0"/>
    <n v="12032.325999999999"/>
  </r>
  <r>
    <n v="62"/>
    <s v="female"/>
    <n v="39.159999999999997"/>
    <n v="0"/>
    <s v="no"/>
    <x v="1"/>
    <n v="13470.804400000001"/>
  </r>
  <r>
    <n v="41"/>
    <s v="male"/>
    <n v="34.21"/>
    <n v="1"/>
    <s v="no"/>
    <x v="1"/>
    <n v="6289.7548999999999"/>
  </r>
  <r>
    <n v="26"/>
    <s v="male"/>
    <n v="46.53"/>
    <n v="1"/>
    <s v="no"/>
    <x v="1"/>
    <n v="2927.0646999999999"/>
  </r>
  <r>
    <n v="39"/>
    <s v="female"/>
    <n v="32.5"/>
    <n v="1"/>
    <s v="no"/>
    <x v="0"/>
    <n v="6238.2979999999998"/>
  </r>
  <r>
    <n v="46"/>
    <s v="male"/>
    <n v="25.8"/>
    <n v="5"/>
    <s v="no"/>
    <x v="0"/>
    <n v="10096.969999999999"/>
  </r>
  <r>
    <n v="45"/>
    <s v="female"/>
    <n v="35.299999999999997"/>
    <n v="0"/>
    <s v="no"/>
    <x v="0"/>
    <n v="7348.1419999999998"/>
  </r>
  <r>
    <n v="32"/>
    <s v="male"/>
    <n v="37.18"/>
    <n v="2"/>
    <s v="no"/>
    <x v="1"/>
    <n v="4673.3922000000002"/>
  </r>
  <r>
    <n v="59"/>
    <s v="female"/>
    <n v="27.5"/>
    <n v="0"/>
    <s v="no"/>
    <x v="0"/>
    <n v="12233.828"/>
  </r>
  <r>
    <n v="44"/>
    <s v="male"/>
    <n v="29.734999999999999"/>
    <n v="2"/>
    <s v="no"/>
    <x v="3"/>
    <n v="32108.662820000001"/>
  </r>
  <r>
    <n v="39"/>
    <s v="female"/>
    <n v="24.225000000000001"/>
    <n v="5"/>
    <s v="no"/>
    <x v="2"/>
    <n v="8965.7957499999993"/>
  </r>
  <r>
    <n v="18"/>
    <s v="male"/>
    <n v="26.18"/>
    <n v="2"/>
    <s v="no"/>
    <x v="1"/>
    <n v="2304.0021999999999"/>
  </r>
  <r>
    <n v="53"/>
    <s v="male"/>
    <n v="29.48"/>
    <n v="0"/>
    <s v="no"/>
    <x v="1"/>
    <n v="9487.6442000000006"/>
  </r>
  <r>
    <n v="18"/>
    <s v="male"/>
    <n v="23.21"/>
    <n v="0"/>
    <s v="no"/>
    <x v="1"/>
    <n v="1121.8739"/>
  </r>
  <r>
    <n v="50"/>
    <s v="female"/>
    <n v="46.09"/>
    <n v="1"/>
    <s v="no"/>
    <x v="1"/>
    <n v="9549.5650999999998"/>
  </r>
  <r>
    <n v="18"/>
    <s v="female"/>
    <n v="40.185000000000002"/>
    <n v="0"/>
    <s v="no"/>
    <x v="3"/>
    <n v="2217.4691499999999"/>
  </r>
  <r>
    <n v="19"/>
    <s v="male"/>
    <n v="22.61"/>
    <n v="0"/>
    <s v="no"/>
    <x v="2"/>
    <n v="1628.4709"/>
  </r>
  <r>
    <n v="62"/>
    <s v="male"/>
    <n v="39.93"/>
    <n v="0"/>
    <s v="no"/>
    <x v="1"/>
    <n v="12982.8747"/>
  </r>
  <r>
    <n v="56"/>
    <s v="female"/>
    <n v="35.799999999999997"/>
    <n v="1"/>
    <s v="no"/>
    <x v="0"/>
    <n v="11674.13"/>
  </r>
  <r>
    <n v="42"/>
    <s v="male"/>
    <n v="35.799999999999997"/>
    <n v="2"/>
    <s v="no"/>
    <x v="0"/>
    <n v="7160.0940000000001"/>
  </r>
  <r>
    <n v="37"/>
    <s v="male"/>
    <n v="34.200000000000003"/>
    <n v="1"/>
    <s v="yes"/>
    <x v="3"/>
    <n v="39047.285000000003"/>
  </r>
  <r>
    <n v="42"/>
    <s v="male"/>
    <n v="31.254999999999999"/>
    <n v="0"/>
    <s v="no"/>
    <x v="2"/>
    <n v="6358.7764500000003"/>
  </r>
  <r>
    <n v="25"/>
    <s v="male"/>
    <n v="29.7"/>
    <n v="3"/>
    <s v="yes"/>
    <x v="0"/>
    <n v="19933.457999999999"/>
  </r>
  <r>
    <n v="57"/>
    <s v="male"/>
    <n v="18.335000000000001"/>
    <n v="0"/>
    <s v="no"/>
    <x v="3"/>
    <n v="11534.872649999999"/>
  </r>
  <r>
    <n v="51"/>
    <s v="male"/>
    <n v="42.9"/>
    <n v="2"/>
    <s v="yes"/>
    <x v="1"/>
    <n v="47462.894"/>
  </r>
  <r>
    <n v="30"/>
    <s v="female"/>
    <n v="28.405000000000001"/>
    <n v="1"/>
    <s v="no"/>
    <x v="2"/>
    <n v="4527.1829500000003"/>
  </r>
  <r>
    <n v="44"/>
    <s v="male"/>
    <n v="30.2"/>
    <n v="2"/>
    <s v="yes"/>
    <x v="0"/>
    <n v="38998.546000000002"/>
  </r>
  <r>
    <n v="34"/>
    <s v="male"/>
    <n v="27.835000000000001"/>
    <n v="1"/>
    <s v="yes"/>
    <x v="2"/>
    <n v="20009.63365"/>
  </r>
  <r>
    <n v="31"/>
    <s v="male"/>
    <n v="39.49"/>
    <n v="1"/>
    <s v="no"/>
    <x v="1"/>
    <n v="3875.7341000000001"/>
  </r>
  <r>
    <n v="54"/>
    <s v="male"/>
    <n v="30.8"/>
    <n v="1"/>
    <s v="yes"/>
    <x v="1"/>
    <n v="41999.519999999997"/>
  </r>
  <r>
    <n v="24"/>
    <s v="male"/>
    <n v="26.79"/>
    <n v="1"/>
    <s v="no"/>
    <x v="2"/>
    <n v="12609.88702"/>
  </r>
  <r>
    <n v="43"/>
    <s v="male"/>
    <n v="34.96"/>
    <n v="1"/>
    <s v="yes"/>
    <x v="3"/>
    <n v="41034.221400000002"/>
  </r>
  <r>
    <n v="48"/>
    <s v="male"/>
    <n v="36.67"/>
    <n v="1"/>
    <s v="no"/>
    <x v="2"/>
    <n v="28468.919010000001"/>
  </r>
  <r>
    <n v="19"/>
    <s v="female"/>
    <n v="39.615000000000002"/>
    <n v="1"/>
    <s v="no"/>
    <x v="2"/>
    <n v="2730.1078499999999"/>
  </r>
  <r>
    <n v="29"/>
    <s v="female"/>
    <n v="25.9"/>
    <n v="0"/>
    <s v="no"/>
    <x v="0"/>
    <n v="3353.2840000000001"/>
  </r>
  <r>
    <n v="63"/>
    <s v="female"/>
    <n v="35.200000000000003"/>
    <n v="1"/>
    <s v="no"/>
    <x v="1"/>
    <n v="14474.674999999999"/>
  </r>
  <r>
    <n v="46"/>
    <s v="male"/>
    <n v="24.795000000000002"/>
    <n v="3"/>
    <s v="no"/>
    <x v="3"/>
    <n v="9500.5730500000009"/>
  </r>
  <r>
    <n v="52"/>
    <s v="male"/>
    <n v="36.765000000000001"/>
    <n v="2"/>
    <s v="no"/>
    <x v="2"/>
    <n v="26467.09737"/>
  </r>
  <r>
    <n v="35"/>
    <s v="male"/>
    <n v="27.1"/>
    <n v="1"/>
    <s v="no"/>
    <x v="0"/>
    <n v="4746.3440000000001"/>
  </r>
  <r>
    <n v="51"/>
    <s v="male"/>
    <n v="24.795000000000002"/>
    <n v="2"/>
    <s v="yes"/>
    <x v="2"/>
    <n v="23967.38305"/>
  </r>
  <r>
    <n v="44"/>
    <s v="male"/>
    <n v="25.364999999999998"/>
    <n v="1"/>
    <s v="no"/>
    <x v="2"/>
    <n v="7518.0253499999999"/>
  </r>
  <r>
    <n v="21"/>
    <s v="male"/>
    <n v="25.745000000000001"/>
    <n v="2"/>
    <s v="no"/>
    <x v="3"/>
    <n v="3279.8685500000001"/>
  </r>
  <r>
    <n v="39"/>
    <s v="female"/>
    <n v="34.32"/>
    <n v="5"/>
    <s v="no"/>
    <x v="1"/>
    <n v="8596.8277999999991"/>
  </r>
  <r>
    <n v="50"/>
    <s v="female"/>
    <n v="28.16"/>
    <n v="3"/>
    <s v="no"/>
    <x v="1"/>
    <n v="10702.642400000001"/>
  </r>
  <r>
    <n v="34"/>
    <s v="female"/>
    <n v="23.56"/>
    <n v="0"/>
    <s v="no"/>
    <x v="3"/>
    <n v="4992.3764000000001"/>
  </r>
  <r>
    <n v="22"/>
    <s v="female"/>
    <n v="20.234999999999999"/>
    <n v="0"/>
    <s v="no"/>
    <x v="2"/>
    <n v="2527.8186500000002"/>
  </r>
  <r>
    <n v="19"/>
    <s v="female"/>
    <n v="40.5"/>
    <n v="0"/>
    <s v="no"/>
    <x v="0"/>
    <n v="1759.338"/>
  </r>
  <r>
    <n v="26"/>
    <s v="male"/>
    <n v="35.42"/>
    <n v="0"/>
    <s v="no"/>
    <x v="1"/>
    <n v="2322.6217999999999"/>
  </r>
  <r>
    <n v="29"/>
    <s v="male"/>
    <n v="22.895"/>
    <n v="0"/>
    <s v="yes"/>
    <x v="3"/>
    <n v="16138.762049999999"/>
  </r>
  <r>
    <n v="48"/>
    <s v="male"/>
    <n v="40.15"/>
    <n v="0"/>
    <s v="no"/>
    <x v="1"/>
    <n v="7804.1605"/>
  </r>
  <r>
    <n v="26"/>
    <s v="male"/>
    <n v="29.15"/>
    <n v="1"/>
    <s v="no"/>
    <x v="1"/>
    <n v="2902.9065000000001"/>
  </r>
  <r>
    <n v="45"/>
    <s v="female"/>
    <n v="39.994999999999997"/>
    <n v="3"/>
    <s v="no"/>
    <x v="3"/>
    <n v="9704.6680500000002"/>
  </r>
  <r>
    <n v="36"/>
    <s v="female"/>
    <n v="29.92"/>
    <n v="0"/>
    <s v="no"/>
    <x v="1"/>
    <n v="4889.0367999999999"/>
  </r>
  <r>
    <n v="54"/>
    <s v="male"/>
    <n v="25.46"/>
    <n v="1"/>
    <s v="no"/>
    <x v="3"/>
    <n v="25517.11363"/>
  </r>
  <r>
    <n v="34"/>
    <s v="male"/>
    <n v="21.375"/>
    <n v="0"/>
    <s v="no"/>
    <x v="3"/>
    <n v="4500.33925"/>
  </r>
  <r>
    <n v="31"/>
    <s v="male"/>
    <n v="25.9"/>
    <n v="3"/>
    <s v="yes"/>
    <x v="0"/>
    <n v="19199.944"/>
  </r>
  <r>
    <n v="27"/>
    <s v="female"/>
    <n v="30.59"/>
    <n v="1"/>
    <s v="no"/>
    <x v="3"/>
    <n v="16796.411940000002"/>
  </r>
  <r>
    <n v="20"/>
    <s v="male"/>
    <n v="30.114999999999998"/>
    <n v="5"/>
    <s v="no"/>
    <x v="3"/>
    <n v="4915.0598499999996"/>
  </r>
  <r>
    <n v="44"/>
    <s v="female"/>
    <n v="25.8"/>
    <n v="1"/>
    <s v="no"/>
    <x v="0"/>
    <n v="7624.63"/>
  </r>
  <r>
    <n v="43"/>
    <s v="male"/>
    <n v="30.114999999999998"/>
    <n v="3"/>
    <s v="no"/>
    <x v="2"/>
    <n v="8410.0468500000006"/>
  </r>
  <r>
    <n v="45"/>
    <s v="female"/>
    <n v="27.645"/>
    <n v="1"/>
    <s v="no"/>
    <x v="2"/>
    <n v="28340.188849999999"/>
  </r>
  <r>
    <n v="34"/>
    <s v="male"/>
    <n v="34.674999999999997"/>
    <n v="0"/>
    <s v="no"/>
    <x v="3"/>
    <n v="4518.8262500000001"/>
  </r>
  <r>
    <n v="24"/>
    <s v="female"/>
    <n v="20.52"/>
    <n v="0"/>
    <s v="yes"/>
    <x v="3"/>
    <n v="14571.890799999999"/>
  </r>
  <r>
    <n v="26"/>
    <s v="female"/>
    <n v="19.8"/>
    <n v="1"/>
    <s v="no"/>
    <x v="0"/>
    <n v="3378.91"/>
  </r>
  <r>
    <n v="38"/>
    <s v="female"/>
    <n v="27.835000000000001"/>
    <n v="2"/>
    <s v="no"/>
    <x v="3"/>
    <n v="7144.86265"/>
  </r>
  <r>
    <n v="50"/>
    <s v="female"/>
    <n v="31.6"/>
    <n v="2"/>
    <s v="no"/>
    <x v="0"/>
    <n v="10118.424000000001"/>
  </r>
  <r>
    <n v="38"/>
    <s v="male"/>
    <n v="28.27"/>
    <n v="1"/>
    <s v="no"/>
    <x v="1"/>
    <n v="5484.4673000000003"/>
  </r>
  <r>
    <n v="27"/>
    <s v="female"/>
    <n v="20.045000000000002"/>
    <n v="3"/>
    <s v="yes"/>
    <x v="2"/>
    <n v="16420.494549999999"/>
  </r>
  <r>
    <n v="39"/>
    <s v="female"/>
    <n v="23.274999999999999"/>
    <n v="3"/>
    <s v="no"/>
    <x v="3"/>
    <n v="7986.4752500000004"/>
  </r>
  <r>
    <n v="39"/>
    <s v="female"/>
    <n v="34.1"/>
    <n v="3"/>
    <s v="no"/>
    <x v="0"/>
    <n v="7418.5219999999999"/>
  </r>
  <r>
    <n v="63"/>
    <s v="female"/>
    <n v="36.85"/>
    <n v="0"/>
    <s v="no"/>
    <x v="1"/>
    <n v="13887.968500000001"/>
  </r>
  <r>
    <n v="33"/>
    <s v="female"/>
    <n v="36.29"/>
    <n v="3"/>
    <s v="no"/>
    <x v="3"/>
    <n v="6551.7501000000002"/>
  </r>
  <r>
    <n v="36"/>
    <s v="female"/>
    <n v="26.885000000000002"/>
    <n v="0"/>
    <s v="no"/>
    <x v="2"/>
    <n v="5267.8181500000001"/>
  </r>
  <r>
    <n v="30"/>
    <s v="male"/>
    <n v="22.99"/>
    <n v="2"/>
    <s v="yes"/>
    <x v="2"/>
    <n v="17361.766100000001"/>
  </r>
  <r>
    <n v="24"/>
    <s v="male"/>
    <n v="32.700000000000003"/>
    <n v="0"/>
    <s v="yes"/>
    <x v="0"/>
    <n v="34472.841"/>
  </r>
  <r>
    <n v="24"/>
    <s v="male"/>
    <n v="25.8"/>
    <n v="0"/>
    <s v="no"/>
    <x v="0"/>
    <n v="1972.95"/>
  </r>
  <r>
    <n v="48"/>
    <s v="male"/>
    <n v="29.6"/>
    <n v="0"/>
    <s v="no"/>
    <x v="0"/>
    <n v="21232.182260000001"/>
  </r>
  <r>
    <n v="47"/>
    <s v="male"/>
    <n v="19.190000000000001"/>
    <n v="1"/>
    <s v="no"/>
    <x v="3"/>
    <n v="8627.5411000000004"/>
  </r>
  <r>
    <n v="29"/>
    <s v="male"/>
    <n v="31.73"/>
    <n v="2"/>
    <s v="no"/>
    <x v="2"/>
    <n v="4433.3877000000002"/>
  </r>
  <r>
    <n v="28"/>
    <s v="male"/>
    <n v="29.26"/>
    <n v="2"/>
    <s v="no"/>
    <x v="3"/>
    <n v="4438.2633999999998"/>
  </r>
  <r>
    <n v="47"/>
    <s v="male"/>
    <n v="28.215"/>
    <n v="3"/>
    <s v="yes"/>
    <x v="2"/>
    <n v="24915.220850000002"/>
  </r>
  <r>
    <n v="25"/>
    <s v="male"/>
    <n v="24.984999999999999"/>
    <n v="2"/>
    <s v="no"/>
    <x v="3"/>
    <n v="23241.47453"/>
  </r>
  <r>
    <n v="51"/>
    <s v="male"/>
    <n v="27.74"/>
    <n v="1"/>
    <s v="no"/>
    <x v="3"/>
    <n v="9957.7216000000008"/>
  </r>
  <r>
    <n v="48"/>
    <s v="female"/>
    <n v="22.8"/>
    <n v="0"/>
    <s v="no"/>
    <x v="0"/>
    <n v="8269.0439999999999"/>
  </r>
  <r>
    <n v="43"/>
    <s v="male"/>
    <n v="20.13"/>
    <n v="2"/>
    <s v="yes"/>
    <x v="1"/>
    <n v="18767.737700000001"/>
  </r>
  <r>
    <n v="61"/>
    <s v="female"/>
    <n v="33.33"/>
    <n v="4"/>
    <s v="no"/>
    <x v="1"/>
    <n v="36580.282160000002"/>
  </r>
  <r>
    <n v="48"/>
    <s v="male"/>
    <n v="32.299999999999997"/>
    <n v="1"/>
    <s v="no"/>
    <x v="2"/>
    <n v="8765.2489999999998"/>
  </r>
  <r>
    <n v="38"/>
    <s v="female"/>
    <n v="27.6"/>
    <n v="0"/>
    <s v="no"/>
    <x v="0"/>
    <n v="5383.5360000000001"/>
  </r>
  <r>
    <n v="59"/>
    <s v="male"/>
    <n v="25.46"/>
    <n v="0"/>
    <s v="no"/>
    <x v="2"/>
    <n v="12124.992399999999"/>
  </r>
  <r>
    <n v="19"/>
    <s v="female"/>
    <n v="24.605"/>
    <n v="1"/>
    <s v="no"/>
    <x v="2"/>
    <n v="2709.24395"/>
  </r>
  <r>
    <n v="26"/>
    <s v="female"/>
    <n v="34.200000000000003"/>
    <n v="2"/>
    <s v="no"/>
    <x v="0"/>
    <n v="3987.9259999999999"/>
  </r>
  <r>
    <n v="54"/>
    <s v="female"/>
    <n v="35.814999999999998"/>
    <n v="3"/>
    <s v="no"/>
    <x v="2"/>
    <n v="12495.290849999999"/>
  </r>
  <r>
    <n v="21"/>
    <s v="female"/>
    <n v="32.68"/>
    <n v="2"/>
    <s v="no"/>
    <x v="2"/>
    <n v="26018.950519999999"/>
  </r>
  <r>
    <n v="51"/>
    <s v="male"/>
    <n v="37"/>
    <n v="0"/>
    <s v="no"/>
    <x v="0"/>
    <n v="8798.5930000000008"/>
  </r>
  <r>
    <n v="22"/>
    <s v="female"/>
    <n v="31.02"/>
    <n v="3"/>
    <s v="yes"/>
    <x v="1"/>
    <n v="35595.589800000002"/>
  </r>
  <r>
    <n v="47"/>
    <s v="male"/>
    <n v="36.08"/>
    <n v="1"/>
    <s v="yes"/>
    <x v="1"/>
    <n v="42211.138200000001"/>
  </r>
  <r>
    <n v="18"/>
    <s v="male"/>
    <n v="23.32"/>
    <n v="1"/>
    <s v="no"/>
    <x v="1"/>
    <n v="1711.0268000000001"/>
  </r>
  <r>
    <n v="47"/>
    <s v="female"/>
    <n v="45.32"/>
    <n v="1"/>
    <s v="no"/>
    <x v="1"/>
    <n v="8569.8618000000006"/>
  </r>
  <r>
    <n v="21"/>
    <s v="female"/>
    <n v="34.6"/>
    <n v="0"/>
    <s v="no"/>
    <x v="0"/>
    <n v="2020.1769999999999"/>
  </r>
  <r>
    <n v="19"/>
    <s v="male"/>
    <n v="26.03"/>
    <n v="1"/>
    <s v="yes"/>
    <x v="2"/>
    <n v="16450.894700000001"/>
  </r>
  <r>
    <n v="23"/>
    <s v="male"/>
    <n v="18.715"/>
    <n v="0"/>
    <s v="no"/>
    <x v="2"/>
    <n v="21595.382290000001"/>
  </r>
  <r>
    <n v="54"/>
    <s v="male"/>
    <n v="31.6"/>
    <n v="0"/>
    <s v="no"/>
    <x v="0"/>
    <n v="9850.4320000000007"/>
  </r>
  <r>
    <n v="37"/>
    <s v="female"/>
    <n v="17.29"/>
    <n v="2"/>
    <s v="no"/>
    <x v="3"/>
    <n v="6877.9800999999998"/>
  </r>
  <r>
    <n v="46"/>
    <s v="female"/>
    <n v="23.655000000000001"/>
    <n v="1"/>
    <s v="yes"/>
    <x v="2"/>
    <n v="21677.283449999999"/>
  </r>
  <r>
    <n v="55"/>
    <s v="female"/>
    <n v="35.200000000000003"/>
    <n v="0"/>
    <s v="yes"/>
    <x v="1"/>
    <n v="44423.803"/>
  </r>
  <r>
    <n v="30"/>
    <s v="female"/>
    <n v="27.93"/>
    <n v="0"/>
    <s v="no"/>
    <x v="3"/>
    <n v="4137.5227000000004"/>
  </r>
  <r>
    <n v="18"/>
    <s v="male"/>
    <n v="21.565000000000001"/>
    <n v="0"/>
    <s v="yes"/>
    <x v="3"/>
    <n v="13747.87235"/>
  </r>
  <r>
    <n v="61"/>
    <s v="male"/>
    <n v="38.380000000000003"/>
    <n v="0"/>
    <s v="no"/>
    <x v="2"/>
    <n v="12950.0712"/>
  </r>
  <r>
    <n v="54"/>
    <s v="female"/>
    <n v="23"/>
    <n v="3"/>
    <s v="no"/>
    <x v="0"/>
    <n v="12094.477999999999"/>
  </r>
  <r>
    <n v="22"/>
    <s v="male"/>
    <n v="37.07"/>
    <n v="2"/>
    <s v="yes"/>
    <x v="1"/>
    <n v="37484.4493"/>
  </r>
  <r>
    <n v="45"/>
    <s v="female"/>
    <n v="30.495000000000001"/>
    <n v="1"/>
    <s v="yes"/>
    <x v="2"/>
    <n v="39725.518049999999"/>
  </r>
  <r>
    <n v="22"/>
    <s v="male"/>
    <n v="28.88"/>
    <n v="0"/>
    <s v="no"/>
    <x v="3"/>
    <n v="2250.8352"/>
  </r>
  <r>
    <n v="19"/>
    <s v="male"/>
    <n v="27.265000000000001"/>
    <n v="2"/>
    <s v="no"/>
    <x v="2"/>
    <n v="22493.659640000002"/>
  </r>
  <r>
    <n v="35"/>
    <s v="female"/>
    <n v="28.024999999999999"/>
    <n v="0"/>
    <s v="yes"/>
    <x v="2"/>
    <n v="20234.854749999999"/>
  </r>
  <r>
    <n v="18"/>
    <s v="male"/>
    <n v="23.085000000000001"/>
    <n v="0"/>
    <s v="no"/>
    <x v="3"/>
    <n v="1704.7001499999999"/>
  </r>
  <r>
    <n v="20"/>
    <s v="male"/>
    <n v="30.684999999999999"/>
    <n v="0"/>
    <s v="yes"/>
    <x v="3"/>
    <n v="33475.817150000003"/>
  </r>
  <r>
    <n v="28"/>
    <s v="female"/>
    <n v="25.8"/>
    <n v="0"/>
    <s v="no"/>
    <x v="0"/>
    <n v="3161.4540000000002"/>
  </r>
  <r>
    <n v="55"/>
    <s v="male"/>
    <n v="35.244999999999997"/>
    <n v="1"/>
    <s v="no"/>
    <x v="3"/>
    <n v="11394.065549999999"/>
  </r>
  <r>
    <n v="43"/>
    <s v="female"/>
    <n v="24.7"/>
    <n v="2"/>
    <s v="yes"/>
    <x v="2"/>
    <n v="21880.82"/>
  </r>
  <r>
    <n v="43"/>
    <s v="female"/>
    <n v="25.08"/>
    <n v="0"/>
    <s v="no"/>
    <x v="3"/>
    <n v="7325.0482000000002"/>
  </r>
  <r>
    <n v="22"/>
    <s v="male"/>
    <n v="52.58"/>
    <n v="1"/>
    <s v="yes"/>
    <x v="1"/>
    <n v="44501.398200000003"/>
  </r>
  <r>
    <n v="25"/>
    <s v="female"/>
    <n v="22.515000000000001"/>
    <n v="1"/>
    <s v="no"/>
    <x v="2"/>
    <n v="3594.17085"/>
  </r>
  <r>
    <n v="49"/>
    <s v="male"/>
    <n v="30.9"/>
    <n v="0"/>
    <s v="yes"/>
    <x v="0"/>
    <n v="39727.614000000001"/>
  </r>
  <r>
    <n v="44"/>
    <s v="female"/>
    <n v="36.954999999999998"/>
    <n v="1"/>
    <s v="no"/>
    <x v="2"/>
    <n v="8023.1354499999998"/>
  </r>
  <r>
    <n v="64"/>
    <s v="male"/>
    <n v="26.41"/>
    <n v="0"/>
    <s v="no"/>
    <x v="3"/>
    <n v="14394.5579"/>
  </r>
  <r>
    <n v="49"/>
    <s v="male"/>
    <n v="29.83"/>
    <n v="1"/>
    <s v="no"/>
    <x v="3"/>
    <n v="9288.0267000000003"/>
  </r>
  <r>
    <n v="47"/>
    <s v="male"/>
    <n v="29.8"/>
    <n v="3"/>
    <s v="yes"/>
    <x v="0"/>
    <n v="25309.489000000001"/>
  </r>
  <r>
    <n v="27"/>
    <s v="female"/>
    <n v="21.47"/>
    <n v="0"/>
    <s v="no"/>
    <x v="2"/>
    <n v="3353.4703"/>
  </r>
  <r>
    <n v="55"/>
    <s v="male"/>
    <n v="27.645"/>
    <n v="0"/>
    <s v="no"/>
    <x v="2"/>
    <n v="10594.501550000001"/>
  </r>
  <r>
    <n v="48"/>
    <s v="female"/>
    <n v="28.9"/>
    <n v="0"/>
    <s v="no"/>
    <x v="0"/>
    <n v="8277.5229999999992"/>
  </r>
  <r>
    <n v="45"/>
    <s v="female"/>
    <n v="31.79"/>
    <n v="0"/>
    <s v="no"/>
    <x v="1"/>
    <n v="17929.303370000001"/>
  </r>
  <r>
    <n v="24"/>
    <s v="female"/>
    <n v="39.49"/>
    <n v="0"/>
    <s v="no"/>
    <x v="1"/>
    <n v="2480.9791"/>
  </r>
  <r>
    <n v="32"/>
    <s v="male"/>
    <n v="33.82"/>
    <n v="1"/>
    <s v="no"/>
    <x v="2"/>
    <n v="4462.7218000000003"/>
  </r>
  <r>
    <n v="24"/>
    <s v="male"/>
    <n v="32.01"/>
    <n v="0"/>
    <s v="no"/>
    <x v="1"/>
    <n v="1981.5818999999999"/>
  </r>
  <r>
    <n v="57"/>
    <s v="male"/>
    <n v="27.94"/>
    <n v="1"/>
    <s v="no"/>
    <x v="1"/>
    <n v="11554.223599999999"/>
  </r>
  <r>
    <n v="59"/>
    <s v="male"/>
    <n v="41.14"/>
    <n v="1"/>
    <s v="yes"/>
    <x v="1"/>
    <n v="48970.247600000002"/>
  </r>
  <r>
    <n v="36"/>
    <s v="male"/>
    <n v="28.594999999999999"/>
    <n v="3"/>
    <s v="no"/>
    <x v="2"/>
    <n v="6548.1950500000003"/>
  </r>
  <r>
    <n v="29"/>
    <s v="female"/>
    <n v="25.6"/>
    <n v="4"/>
    <s v="no"/>
    <x v="0"/>
    <n v="5708.8670000000002"/>
  </r>
  <r>
    <n v="42"/>
    <s v="female"/>
    <n v="25.3"/>
    <n v="1"/>
    <s v="no"/>
    <x v="0"/>
    <n v="7045.4989999999998"/>
  </r>
  <r>
    <n v="48"/>
    <s v="male"/>
    <n v="37.29"/>
    <n v="2"/>
    <s v="no"/>
    <x v="1"/>
    <n v="8978.1851000000006"/>
  </r>
  <r>
    <n v="39"/>
    <s v="male"/>
    <n v="42.655000000000001"/>
    <n v="0"/>
    <s v="no"/>
    <x v="3"/>
    <n v="5757.41345"/>
  </r>
  <r>
    <n v="63"/>
    <s v="male"/>
    <n v="21.66"/>
    <n v="1"/>
    <s v="no"/>
    <x v="2"/>
    <n v="14349.8544"/>
  </r>
  <r>
    <n v="54"/>
    <s v="female"/>
    <n v="31.9"/>
    <n v="1"/>
    <s v="no"/>
    <x v="1"/>
    <n v="10928.849"/>
  </r>
  <r>
    <n v="37"/>
    <s v="male"/>
    <n v="37.07"/>
    <n v="1"/>
    <s v="yes"/>
    <x v="1"/>
    <n v="39871.704299999998"/>
  </r>
  <r>
    <n v="63"/>
    <s v="male"/>
    <n v="31.445"/>
    <n v="0"/>
    <s v="no"/>
    <x v="3"/>
    <n v="13974.455550000001"/>
  </r>
  <r>
    <n v="21"/>
    <s v="male"/>
    <n v="31.254999999999999"/>
    <n v="0"/>
    <s v="no"/>
    <x v="2"/>
    <n v="1909.52745"/>
  </r>
  <r>
    <n v="54"/>
    <s v="female"/>
    <n v="28.88"/>
    <n v="2"/>
    <s v="no"/>
    <x v="3"/>
    <n v="12096.6512"/>
  </r>
  <r>
    <n v="60"/>
    <s v="female"/>
    <n v="18.335000000000001"/>
    <n v="0"/>
    <s v="no"/>
    <x v="3"/>
    <n v="13204.28565"/>
  </r>
  <r>
    <n v="32"/>
    <s v="female"/>
    <n v="29.59"/>
    <n v="1"/>
    <s v="no"/>
    <x v="1"/>
    <n v="4562.8420999999998"/>
  </r>
  <r>
    <n v="47"/>
    <s v="female"/>
    <n v="32"/>
    <n v="1"/>
    <s v="no"/>
    <x v="0"/>
    <n v="8551.3469999999998"/>
  </r>
  <r>
    <n v="21"/>
    <s v="male"/>
    <n v="26.03"/>
    <n v="0"/>
    <s v="no"/>
    <x v="3"/>
    <n v="2102.2647000000002"/>
  </r>
  <r>
    <n v="28"/>
    <s v="male"/>
    <n v="31.68"/>
    <n v="0"/>
    <s v="yes"/>
    <x v="1"/>
    <n v="34672.147199999999"/>
  </r>
  <r>
    <n v="63"/>
    <s v="male"/>
    <n v="33.659999999999997"/>
    <n v="3"/>
    <s v="no"/>
    <x v="1"/>
    <n v="15161.5344"/>
  </r>
  <r>
    <n v="18"/>
    <s v="male"/>
    <n v="21.78"/>
    <n v="2"/>
    <s v="no"/>
    <x v="1"/>
    <n v="11884.048580000001"/>
  </r>
  <r>
    <n v="32"/>
    <s v="male"/>
    <n v="27.835000000000001"/>
    <n v="1"/>
    <s v="no"/>
    <x v="2"/>
    <n v="4454.40265"/>
  </r>
  <r>
    <n v="38"/>
    <s v="male"/>
    <n v="19.95"/>
    <n v="1"/>
    <s v="no"/>
    <x v="2"/>
    <n v="5855.9025000000001"/>
  </r>
  <r>
    <n v="32"/>
    <s v="male"/>
    <n v="31.5"/>
    <n v="1"/>
    <s v="no"/>
    <x v="0"/>
    <n v="4076.4969999999998"/>
  </r>
  <r>
    <n v="62"/>
    <s v="female"/>
    <n v="30.495000000000001"/>
    <n v="2"/>
    <s v="no"/>
    <x v="2"/>
    <n v="15019.760050000001"/>
  </r>
  <r>
    <n v="39"/>
    <s v="female"/>
    <n v="18.3"/>
    <n v="5"/>
    <s v="yes"/>
    <x v="0"/>
    <n v="19023.259999999998"/>
  </r>
  <r>
    <n v="55"/>
    <s v="male"/>
    <n v="28.975000000000001"/>
    <n v="0"/>
    <s v="no"/>
    <x v="3"/>
    <n v="10796.35025"/>
  </r>
  <r>
    <n v="57"/>
    <s v="male"/>
    <n v="31.54"/>
    <n v="0"/>
    <s v="no"/>
    <x v="2"/>
    <n v="11353.2276"/>
  </r>
  <r>
    <n v="52"/>
    <s v="male"/>
    <n v="47.74"/>
    <n v="1"/>
    <s v="no"/>
    <x v="1"/>
    <n v="9748.9105999999992"/>
  </r>
  <r>
    <n v="56"/>
    <s v="male"/>
    <n v="22.1"/>
    <n v="0"/>
    <s v="no"/>
    <x v="0"/>
    <n v="10577.087"/>
  </r>
  <r>
    <n v="47"/>
    <s v="male"/>
    <n v="36.19"/>
    <n v="0"/>
    <s v="yes"/>
    <x v="1"/>
    <n v="41676.081100000003"/>
  </r>
  <r>
    <n v="55"/>
    <s v="female"/>
    <n v="29.83"/>
    <n v="0"/>
    <s v="no"/>
    <x v="3"/>
    <n v="11286.538699999999"/>
  </r>
  <r>
    <n v="23"/>
    <s v="male"/>
    <n v="32.700000000000003"/>
    <n v="3"/>
    <s v="no"/>
    <x v="0"/>
    <n v="3591.48"/>
  </r>
  <r>
    <n v="22"/>
    <s v="female"/>
    <n v="30.4"/>
    <n v="0"/>
    <s v="yes"/>
    <x v="2"/>
    <n v="33907.548000000003"/>
  </r>
  <r>
    <n v="50"/>
    <s v="female"/>
    <n v="33.700000000000003"/>
    <n v="4"/>
    <s v="no"/>
    <x v="0"/>
    <n v="11299.343000000001"/>
  </r>
  <r>
    <n v="18"/>
    <s v="female"/>
    <n v="31.35"/>
    <n v="4"/>
    <s v="no"/>
    <x v="3"/>
    <n v="4561.1885000000002"/>
  </r>
  <r>
    <n v="51"/>
    <s v="female"/>
    <n v="34.96"/>
    <n v="2"/>
    <s v="yes"/>
    <x v="3"/>
    <n v="44641.197399999997"/>
  </r>
  <r>
    <n v="22"/>
    <s v="male"/>
    <n v="33.770000000000003"/>
    <n v="0"/>
    <s v="no"/>
    <x v="1"/>
    <n v="1674.6323"/>
  </r>
  <r>
    <n v="52"/>
    <s v="female"/>
    <n v="30.875"/>
    <n v="0"/>
    <s v="no"/>
    <x v="3"/>
    <n v="23045.566159999998"/>
  </r>
  <r>
    <n v="25"/>
    <s v="female"/>
    <n v="33.99"/>
    <n v="1"/>
    <s v="no"/>
    <x v="1"/>
    <n v="3227.1210999999998"/>
  </r>
  <r>
    <n v="33"/>
    <s v="female"/>
    <n v="19.094999999999999"/>
    <n v="2"/>
    <s v="yes"/>
    <x v="3"/>
    <n v="16776.304049999999"/>
  </r>
  <r>
    <n v="53"/>
    <s v="male"/>
    <n v="28.6"/>
    <n v="3"/>
    <s v="no"/>
    <x v="0"/>
    <n v="11253.421"/>
  </r>
  <r>
    <n v="29"/>
    <s v="male"/>
    <n v="38.94"/>
    <n v="1"/>
    <s v="no"/>
    <x v="1"/>
    <n v="3471.4096"/>
  </r>
  <r>
    <n v="58"/>
    <s v="male"/>
    <n v="36.08"/>
    <n v="0"/>
    <s v="no"/>
    <x v="1"/>
    <n v="11363.2832"/>
  </r>
  <r>
    <n v="37"/>
    <s v="male"/>
    <n v="29.8"/>
    <n v="0"/>
    <s v="no"/>
    <x v="0"/>
    <n v="20420.604650000001"/>
  </r>
  <r>
    <n v="54"/>
    <s v="female"/>
    <n v="31.24"/>
    <n v="0"/>
    <s v="no"/>
    <x v="1"/>
    <n v="10338.9316"/>
  </r>
  <r>
    <n v="49"/>
    <s v="female"/>
    <n v="29.925000000000001"/>
    <n v="0"/>
    <s v="no"/>
    <x v="2"/>
    <n v="8988.1587500000005"/>
  </r>
  <r>
    <n v="50"/>
    <s v="female"/>
    <n v="26.22"/>
    <n v="2"/>
    <s v="no"/>
    <x v="2"/>
    <n v="10493.9458"/>
  </r>
  <r>
    <n v="26"/>
    <s v="male"/>
    <n v="30"/>
    <n v="1"/>
    <s v="no"/>
    <x v="0"/>
    <n v="2904.0880000000002"/>
  </r>
  <r>
    <n v="45"/>
    <s v="male"/>
    <n v="20.350000000000001"/>
    <n v="3"/>
    <s v="no"/>
    <x v="1"/>
    <n v="8605.3615000000009"/>
  </r>
  <r>
    <n v="54"/>
    <s v="female"/>
    <n v="32.299999999999997"/>
    <n v="1"/>
    <s v="no"/>
    <x v="3"/>
    <n v="11512.405000000001"/>
  </r>
  <r>
    <n v="38"/>
    <s v="male"/>
    <n v="38.39"/>
    <n v="3"/>
    <s v="yes"/>
    <x v="1"/>
    <n v="41949.244100000004"/>
  </r>
  <r>
    <n v="48"/>
    <s v="female"/>
    <n v="25.85"/>
    <n v="3"/>
    <s v="yes"/>
    <x v="1"/>
    <n v="24180.933499999999"/>
  </r>
  <r>
    <n v="28"/>
    <s v="female"/>
    <n v="26.315000000000001"/>
    <n v="3"/>
    <s v="no"/>
    <x v="2"/>
    <n v="5312.1698500000002"/>
  </r>
  <r>
    <n v="23"/>
    <s v="male"/>
    <n v="24.51"/>
    <n v="0"/>
    <s v="no"/>
    <x v="3"/>
    <n v="2396.0958999999998"/>
  </r>
  <r>
    <n v="55"/>
    <s v="male"/>
    <n v="32.67"/>
    <n v="1"/>
    <s v="no"/>
    <x v="1"/>
    <n v="10807.4863"/>
  </r>
  <r>
    <n v="41"/>
    <s v="male"/>
    <n v="29.64"/>
    <n v="5"/>
    <s v="no"/>
    <x v="3"/>
    <n v="9222.4025999999994"/>
  </r>
  <r>
    <n v="25"/>
    <s v="male"/>
    <n v="33.33"/>
    <n v="2"/>
    <s v="yes"/>
    <x v="1"/>
    <n v="36124.573700000001"/>
  </r>
  <r>
    <n v="33"/>
    <s v="male"/>
    <n v="35.75"/>
    <n v="1"/>
    <s v="yes"/>
    <x v="1"/>
    <n v="38282.749499999998"/>
  </r>
  <r>
    <n v="30"/>
    <s v="female"/>
    <n v="19.95"/>
    <n v="3"/>
    <s v="no"/>
    <x v="2"/>
    <n v="5693.4305000000004"/>
  </r>
  <r>
    <n v="23"/>
    <s v="female"/>
    <n v="31.4"/>
    <n v="0"/>
    <s v="yes"/>
    <x v="0"/>
    <n v="34166.273000000001"/>
  </r>
  <r>
    <n v="46"/>
    <s v="male"/>
    <n v="38.17"/>
    <n v="2"/>
    <s v="no"/>
    <x v="1"/>
    <n v="8347.1643000000004"/>
  </r>
  <r>
    <n v="53"/>
    <s v="female"/>
    <n v="36.86"/>
    <n v="3"/>
    <s v="yes"/>
    <x v="2"/>
    <n v="46661.4424"/>
  </r>
  <r>
    <n v="27"/>
    <s v="female"/>
    <n v="32.395000000000003"/>
    <n v="1"/>
    <s v="no"/>
    <x v="3"/>
    <n v="18903.491409999999"/>
  </r>
  <r>
    <n v="23"/>
    <s v="female"/>
    <n v="42.75"/>
    <n v="1"/>
    <s v="yes"/>
    <x v="3"/>
    <n v="40904.199500000002"/>
  </r>
  <r>
    <n v="63"/>
    <s v="female"/>
    <n v="25.08"/>
    <n v="0"/>
    <s v="no"/>
    <x v="2"/>
    <n v="14254.608200000001"/>
  </r>
  <r>
    <n v="55"/>
    <s v="male"/>
    <n v="29.9"/>
    <n v="0"/>
    <s v="no"/>
    <x v="0"/>
    <n v="10214.636"/>
  </r>
  <r>
    <n v="35"/>
    <s v="female"/>
    <n v="35.86"/>
    <n v="2"/>
    <s v="no"/>
    <x v="1"/>
    <n v="5836.5204000000003"/>
  </r>
  <r>
    <n v="34"/>
    <s v="male"/>
    <n v="32.799999999999997"/>
    <n v="1"/>
    <s v="no"/>
    <x v="0"/>
    <n v="14358.364369999999"/>
  </r>
  <r>
    <n v="19"/>
    <s v="female"/>
    <n v="18.600000000000001"/>
    <n v="0"/>
    <s v="no"/>
    <x v="0"/>
    <n v="1728.8969999999999"/>
  </r>
  <r>
    <n v="39"/>
    <s v="female"/>
    <n v="23.87"/>
    <n v="5"/>
    <s v="no"/>
    <x v="1"/>
    <n v="8582.3022999999994"/>
  </r>
  <r>
    <n v="27"/>
    <s v="male"/>
    <n v="45.9"/>
    <n v="2"/>
    <s v="no"/>
    <x v="0"/>
    <n v="3693.4279999999999"/>
  </r>
  <r>
    <n v="57"/>
    <s v="male"/>
    <n v="40.28"/>
    <n v="0"/>
    <s v="no"/>
    <x v="3"/>
    <n v="20709.020339999999"/>
  </r>
  <r>
    <n v="52"/>
    <s v="female"/>
    <n v="18.335000000000001"/>
    <n v="0"/>
    <s v="no"/>
    <x v="2"/>
    <n v="9991.0376500000002"/>
  </r>
  <r>
    <n v="28"/>
    <s v="male"/>
    <n v="33.82"/>
    <n v="0"/>
    <s v="no"/>
    <x v="2"/>
    <n v="19673.335729999999"/>
  </r>
  <r>
    <n v="50"/>
    <s v="female"/>
    <n v="28.12"/>
    <n v="3"/>
    <s v="no"/>
    <x v="2"/>
    <n v="11085.586799999999"/>
  </r>
  <r>
    <n v="44"/>
    <s v="female"/>
    <n v="25"/>
    <n v="1"/>
    <s v="no"/>
    <x v="0"/>
    <n v="7623.518"/>
  </r>
  <r>
    <n v="26"/>
    <s v="female"/>
    <n v="22.23"/>
    <n v="0"/>
    <s v="no"/>
    <x v="2"/>
    <n v="3176.2876999999999"/>
  </r>
  <r>
    <n v="33"/>
    <s v="male"/>
    <n v="30.25"/>
    <n v="0"/>
    <s v="no"/>
    <x v="1"/>
    <n v="3704.3544999999999"/>
  </r>
  <r>
    <n v="19"/>
    <s v="female"/>
    <n v="32.49"/>
    <n v="0"/>
    <s v="yes"/>
    <x v="2"/>
    <n v="36898.733079999998"/>
  </r>
  <r>
    <n v="50"/>
    <s v="male"/>
    <n v="37.07"/>
    <n v="1"/>
    <s v="no"/>
    <x v="1"/>
    <n v="9048.0272999999997"/>
  </r>
  <r>
    <n v="41"/>
    <s v="female"/>
    <n v="32.6"/>
    <n v="3"/>
    <s v="no"/>
    <x v="0"/>
    <n v="7954.5169999999998"/>
  </r>
  <r>
    <n v="52"/>
    <s v="female"/>
    <n v="24.86"/>
    <n v="0"/>
    <s v="no"/>
    <x v="1"/>
    <n v="27117.993780000001"/>
  </r>
  <r>
    <n v="39"/>
    <s v="male"/>
    <n v="32.340000000000003"/>
    <n v="2"/>
    <s v="no"/>
    <x v="1"/>
    <n v="6338.0756000000001"/>
  </r>
  <r>
    <n v="50"/>
    <s v="male"/>
    <n v="32.299999999999997"/>
    <n v="2"/>
    <s v="no"/>
    <x v="0"/>
    <n v="9630.3970000000008"/>
  </r>
  <r>
    <n v="52"/>
    <s v="male"/>
    <n v="32.774999999999999"/>
    <n v="3"/>
    <s v="no"/>
    <x v="2"/>
    <n v="11289.10925"/>
  </r>
  <r>
    <n v="60"/>
    <s v="male"/>
    <n v="32.799999999999997"/>
    <n v="0"/>
    <s v="yes"/>
    <x v="0"/>
    <n v="52590.829389999999"/>
  </r>
  <r>
    <n v="20"/>
    <s v="female"/>
    <n v="31.92"/>
    <n v="0"/>
    <s v="no"/>
    <x v="2"/>
    <n v="2261.5688"/>
  </r>
  <r>
    <n v="55"/>
    <s v="male"/>
    <n v="21.5"/>
    <n v="1"/>
    <s v="no"/>
    <x v="0"/>
    <n v="10791.96"/>
  </r>
  <r>
    <n v="42"/>
    <s v="male"/>
    <n v="34.1"/>
    <n v="0"/>
    <s v="no"/>
    <x v="0"/>
    <n v="5979.7309999999998"/>
  </r>
  <r>
    <n v="18"/>
    <s v="female"/>
    <n v="30.305"/>
    <n v="0"/>
    <s v="no"/>
    <x v="3"/>
    <n v="2203.7359499999998"/>
  </r>
  <r>
    <n v="58"/>
    <s v="female"/>
    <n v="36.479999999999997"/>
    <n v="0"/>
    <s v="no"/>
    <x v="2"/>
    <n v="12235.8392"/>
  </r>
  <r>
    <n v="43"/>
    <s v="female"/>
    <n v="32.56"/>
    <n v="3"/>
    <s v="yes"/>
    <x v="1"/>
    <n v="40941.285400000001"/>
  </r>
  <r>
    <n v="35"/>
    <s v="female"/>
    <n v="35.814999999999998"/>
    <n v="1"/>
    <s v="no"/>
    <x v="2"/>
    <n v="5630.4578499999998"/>
  </r>
  <r>
    <n v="48"/>
    <s v="female"/>
    <n v="27.93"/>
    <n v="4"/>
    <s v="no"/>
    <x v="2"/>
    <n v="11015.1747"/>
  </r>
  <r>
    <n v="36"/>
    <s v="female"/>
    <n v="22.135000000000002"/>
    <n v="3"/>
    <s v="no"/>
    <x v="3"/>
    <n v="7228.2156500000001"/>
  </r>
  <r>
    <n v="19"/>
    <s v="male"/>
    <n v="44.88"/>
    <n v="0"/>
    <s v="yes"/>
    <x v="1"/>
    <n v="39722.746200000001"/>
  </r>
  <r>
    <n v="23"/>
    <s v="female"/>
    <n v="23.18"/>
    <n v="2"/>
    <s v="no"/>
    <x v="2"/>
    <n v="14426.073850000001"/>
  </r>
  <r>
    <n v="20"/>
    <s v="female"/>
    <n v="30.59"/>
    <n v="0"/>
    <s v="no"/>
    <x v="3"/>
    <n v="2459.7201"/>
  </r>
  <r>
    <n v="32"/>
    <s v="female"/>
    <n v="41.1"/>
    <n v="0"/>
    <s v="no"/>
    <x v="0"/>
    <n v="3989.8409999999999"/>
  </r>
  <r>
    <n v="43"/>
    <s v="female"/>
    <n v="34.58"/>
    <n v="1"/>
    <s v="no"/>
    <x v="2"/>
    <n v="7727.2532000000001"/>
  </r>
  <r>
    <n v="34"/>
    <s v="male"/>
    <n v="42.13"/>
    <n v="2"/>
    <s v="no"/>
    <x v="1"/>
    <n v="5124.1886999999997"/>
  </r>
  <r>
    <n v="30"/>
    <s v="male"/>
    <n v="38.83"/>
    <n v="1"/>
    <s v="no"/>
    <x v="1"/>
    <n v="18963.171920000001"/>
  </r>
  <r>
    <n v="18"/>
    <s v="female"/>
    <n v="28.215"/>
    <n v="0"/>
    <s v="no"/>
    <x v="3"/>
    <n v="2200.8308499999998"/>
  </r>
  <r>
    <n v="41"/>
    <s v="female"/>
    <n v="28.31"/>
    <n v="1"/>
    <s v="no"/>
    <x v="2"/>
    <n v="7153.5538999999999"/>
  </r>
  <r>
    <n v="35"/>
    <s v="female"/>
    <n v="26.125"/>
    <n v="0"/>
    <s v="no"/>
    <x v="3"/>
    <n v="5227.9887500000004"/>
  </r>
  <r>
    <n v="57"/>
    <s v="male"/>
    <n v="40.369999999999997"/>
    <n v="0"/>
    <s v="no"/>
    <x v="1"/>
    <n v="10982.5013"/>
  </r>
  <r>
    <n v="29"/>
    <s v="female"/>
    <n v="24.6"/>
    <n v="2"/>
    <s v="no"/>
    <x v="0"/>
    <n v="4529.4769999999999"/>
  </r>
  <r>
    <n v="32"/>
    <s v="male"/>
    <n v="35.200000000000003"/>
    <n v="2"/>
    <s v="no"/>
    <x v="0"/>
    <n v="4670.6400000000003"/>
  </r>
  <r>
    <n v="37"/>
    <s v="female"/>
    <n v="34.104999999999997"/>
    <n v="1"/>
    <s v="no"/>
    <x v="2"/>
    <n v="6112.3529500000004"/>
  </r>
  <r>
    <n v="18"/>
    <s v="male"/>
    <n v="27.36"/>
    <n v="1"/>
    <s v="yes"/>
    <x v="3"/>
    <n v="17178.682400000002"/>
  </r>
  <r>
    <n v="43"/>
    <s v="female"/>
    <n v="26.7"/>
    <n v="2"/>
    <s v="yes"/>
    <x v="0"/>
    <n v="22478.6"/>
  </r>
  <r>
    <n v="56"/>
    <s v="female"/>
    <n v="41.91"/>
    <n v="0"/>
    <s v="no"/>
    <x v="1"/>
    <n v="11093.6229"/>
  </r>
  <r>
    <n v="38"/>
    <s v="male"/>
    <n v="29.26"/>
    <n v="2"/>
    <s v="no"/>
    <x v="2"/>
    <n v="6457.8433999999997"/>
  </r>
  <r>
    <n v="29"/>
    <s v="male"/>
    <n v="32.11"/>
    <n v="2"/>
    <s v="no"/>
    <x v="2"/>
    <n v="4433.9159"/>
  </r>
  <r>
    <n v="22"/>
    <s v="female"/>
    <n v="27.1"/>
    <n v="0"/>
    <s v="no"/>
    <x v="0"/>
    <n v="2154.3609999999999"/>
  </r>
  <r>
    <n v="52"/>
    <s v="female"/>
    <n v="24.13"/>
    <n v="1"/>
    <s v="yes"/>
    <x v="2"/>
    <n v="23887.662700000001"/>
  </r>
  <r>
    <n v="40"/>
    <s v="female"/>
    <n v="27.4"/>
    <n v="1"/>
    <s v="no"/>
    <x v="0"/>
    <n v="6496.8860000000004"/>
  </r>
  <r>
    <n v="23"/>
    <s v="female"/>
    <n v="34.865000000000002"/>
    <n v="0"/>
    <s v="no"/>
    <x v="3"/>
    <n v="2899.4893499999998"/>
  </r>
  <r>
    <n v="31"/>
    <s v="male"/>
    <n v="29.81"/>
    <n v="0"/>
    <s v="yes"/>
    <x v="1"/>
    <n v="19350.368900000001"/>
  </r>
  <r>
    <n v="42"/>
    <s v="female"/>
    <n v="41.325000000000003"/>
    <n v="1"/>
    <s v="no"/>
    <x v="3"/>
    <n v="7650.7737500000003"/>
  </r>
  <r>
    <n v="24"/>
    <s v="female"/>
    <n v="29.925000000000001"/>
    <n v="0"/>
    <s v="no"/>
    <x v="2"/>
    <n v="2850.6837500000001"/>
  </r>
  <r>
    <n v="25"/>
    <s v="female"/>
    <n v="30.3"/>
    <n v="0"/>
    <s v="no"/>
    <x v="0"/>
    <n v="2632.9920000000002"/>
  </r>
  <r>
    <n v="48"/>
    <s v="female"/>
    <n v="27.36"/>
    <n v="1"/>
    <s v="no"/>
    <x v="3"/>
    <n v="9447.3824000000004"/>
  </r>
  <r>
    <n v="23"/>
    <s v="female"/>
    <n v="28.49"/>
    <n v="1"/>
    <s v="yes"/>
    <x v="1"/>
    <n v="18328.238099999999"/>
  </r>
  <r>
    <n v="45"/>
    <s v="male"/>
    <n v="23.56"/>
    <n v="2"/>
    <s v="no"/>
    <x v="3"/>
    <n v="8603.8233999999993"/>
  </r>
  <r>
    <n v="20"/>
    <s v="male"/>
    <n v="35.625"/>
    <n v="3"/>
    <s v="yes"/>
    <x v="2"/>
    <n v="37465.34375"/>
  </r>
  <r>
    <n v="62"/>
    <s v="female"/>
    <n v="32.68"/>
    <n v="0"/>
    <s v="no"/>
    <x v="2"/>
    <n v="13844.797200000001"/>
  </r>
  <r>
    <n v="43"/>
    <s v="female"/>
    <n v="25.27"/>
    <n v="1"/>
    <s v="yes"/>
    <x v="3"/>
    <n v="21771.3423"/>
  </r>
  <r>
    <n v="23"/>
    <s v="female"/>
    <n v="28"/>
    <n v="0"/>
    <s v="no"/>
    <x v="0"/>
    <n v="13126.677449999999"/>
  </r>
  <r>
    <n v="31"/>
    <s v="female"/>
    <n v="32.774999999999999"/>
    <n v="2"/>
    <s v="no"/>
    <x v="2"/>
    <n v="5327.4002499999997"/>
  </r>
  <r>
    <n v="41"/>
    <s v="female"/>
    <n v="21.754999999999999"/>
    <n v="1"/>
    <s v="no"/>
    <x v="3"/>
    <n v="13725.47184"/>
  </r>
  <r>
    <n v="58"/>
    <s v="female"/>
    <n v="32.395000000000003"/>
    <n v="1"/>
    <s v="no"/>
    <x v="3"/>
    <n v="13019.161050000001"/>
  </r>
  <r>
    <n v="48"/>
    <s v="female"/>
    <n v="36.575000000000003"/>
    <n v="0"/>
    <s v="no"/>
    <x v="2"/>
    <n v="8671.1912499999999"/>
  </r>
  <r>
    <n v="31"/>
    <s v="female"/>
    <n v="21.754999999999999"/>
    <n v="0"/>
    <s v="no"/>
    <x v="2"/>
    <n v="4134.0824499999999"/>
  </r>
  <r>
    <n v="19"/>
    <s v="female"/>
    <n v="27.93"/>
    <n v="3"/>
    <s v="no"/>
    <x v="2"/>
    <n v="18838.703659999999"/>
  </r>
  <r>
    <n v="19"/>
    <s v="female"/>
    <n v="30.02"/>
    <n v="0"/>
    <s v="yes"/>
    <x v="2"/>
    <n v="33307.550799999997"/>
  </r>
  <r>
    <n v="41"/>
    <s v="male"/>
    <n v="33.549999999999997"/>
    <n v="0"/>
    <s v="no"/>
    <x v="1"/>
    <n v="5699.8374999999996"/>
  </r>
  <r>
    <n v="40"/>
    <s v="male"/>
    <n v="29.355"/>
    <n v="1"/>
    <s v="no"/>
    <x v="2"/>
    <n v="6393.6034499999996"/>
  </r>
  <r>
    <n v="31"/>
    <s v="female"/>
    <n v="25.8"/>
    <n v="2"/>
    <s v="no"/>
    <x v="0"/>
    <n v="4934.7049999999999"/>
  </r>
  <r>
    <n v="37"/>
    <s v="male"/>
    <n v="24.32"/>
    <n v="2"/>
    <s v="no"/>
    <x v="2"/>
    <n v="6198.7518"/>
  </r>
  <r>
    <n v="46"/>
    <s v="male"/>
    <n v="40.375"/>
    <n v="2"/>
    <s v="no"/>
    <x v="2"/>
    <n v="8733.2292500000003"/>
  </r>
  <r>
    <n v="22"/>
    <s v="male"/>
    <n v="32.11"/>
    <n v="0"/>
    <s v="no"/>
    <x v="2"/>
    <n v="2055.3249000000001"/>
  </r>
  <r>
    <n v="51"/>
    <s v="male"/>
    <n v="32.299999999999997"/>
    <n v="1"/>
    <s v="no"/>
    <x v="3"/>
    <n v="9964.06"/>
  </r>
  <r>
    <n v="18"/>
    <s v="female"/>
    <n v="27.28"/>
    <n v="3"/>
    <s v="yes"/>
    <x v="1"/>
    <n v="18223.4512"/>
  </r>
  <r>
    <n v="35"/>
    <s v="male"/>
    <n v="17.86"/>
    <n v="1"/>
    <s v="no"/>
    <x v="2"/>
    <n v="5116.5003999999999"/>
  </r>
  <r>
    <n v="59"/>
    <s v="female"/>
    <n v="34.799999999999997"/>
    <n v="2"/>
    <s v="no"/>
    <x v="0"/>
    <n v="36910.608030000003"/>
  </r>
  <r>
    <n v="36"/>
    <s v="male"/>
    <n v="33.4"/>
    <n v="2"/>
    <s v="yes"/>
    <x v="0"/>
    <n v="38415.474000000002"/>
  </r>
  <r>
    <n v="37"/>
    <s v="female"/>
    <n v="25.555"/>
    <n v="1"/>
    <s v="yes"/>
    <x v="3"/>
    <n v="20296.863450000001"/>
  </r>
  <r>
    <n v="59"/>
    <s v="male"/>
    <n v="37.1"/>
    <n v="1"/>
    <s v="no"/>
    <x v="0"/>
    <n v="12347.172"/>
  </r>
  <r>
    <n v="36"/>
    <s v="male"/>
    <n v="30.875"/>
    <n v="1"/>
    <s v="no"/>
    <x v="2"/>
    <n v="5373.3642499999996"/>
  </r>
  <r>
    <n v="39"/>
    <s v="male"/>
    <n v="34.1"/>
    <n v="2"/>
    <s v="no"/>
    <x v="1"/>
    <n v="23563.016179999999"/>
  </r>
  <r>
    <n v="18"/>
    <s v="male"/>
    <n v="21.47"/>
    <n v="0"/>
    <s v="no"/>
    <x v="3"/>
    <n v="1702.4553000000001"/>
  </r>
  <r>
    <n v="52"/>
    <s v="female"/>
    <n v="33.299999999999997"/>
    <n v="2"/>
    <s v="no"/>
    <x v="0"/>
    <n v="10806.839"/>
  </r>
  <r>
    <n v="27"/>
    <s v="female"/>
    <n v="31.254999999999999"/>
    <n v="1"/>
    <s v="no"/>
    <x v="2"/>
    <n v="3956.0714499999999"/>
  </r>
  <r>
    <n v="18"/>
    <s v="male"/>
    <n v="39.14"/>
    <n v="0"/>
    <s v="no"/>
    <x v="3"/>
    <n v="12890.057650000001"/>
  </r>
  <r>
    <n v="40"/>
    <s v="male"/>
    <n v="25.08"/>
    <n v="0"/>
    <s v="no"/>
    <x v="1"/>
    <n v="5415.6611999999996"/>
  </r>
  <r>
    <n v="29"/>
    <s v="male"/>
    <n v="37.29"/>
    <n v="2"/>
    <s v="no"/>
    <x v="1"/>
    <n v="4058.1161000000002"/>
  </r>
  <r>
    <n v="46"/>
    <s v="female"/>
    <n v="34.6"/>
    <n v="1"/>
    <s v="yes"/>
    <x v="0"/>
    <n v="41661.601999999999"/>
  </r>
  <r>
    <n v="38"/>
    <s v="female"/>
    <n v="30.21"/>
    <n v="3"/>
    <s v="no"/>
    <x v="2"/>
    <n v="7537.1638999999996"/>
  </r>
  <r>
    <n v="30"/>
    <s v="female"/>
    <n v="21.945"/>
    <n v="1"/>
    <s v="no"/>
    <x v="3"/>
    <n v="4718.2035500000002"/>
  </r>
  <r>
    <n v="40"/>
    <s v="male"/>
    <n v="24.97"/>
    <n v="2"/>
    <s v="no"/>
    <x v="1"/>
    <n v="6593.5083000000004"/>
  </r>
  <r>
    <n v="50"/>
    <s v="male"/>
    <n v="25.3"/>
    <n v="0"/>
    <s v="no"/>
    <x v="1"/>
    <n v="8442.6669999999995"/>
  </r>
  <r>
    <n v="20"/>
    <s v="female"/>
    <n v="24.42"/>
    <n v="0"/>
    <s v="yes"/>
    <x v="1"/>
    <n v="26125.674770000001"/>
  </r>
  <r>
    <n v="41"/>
    <s v="male"/>
    <n v="23.94"/>
    <n v="1"/>
    <s v="no"/>
    <x v="3"/>
    <n v="6858.4795999999997"/>
  </r>
  <r>
    <n v="33"/>
    <s v="female"/>
    <n v="39.82"/>
    <n v="1"/>
    <s v="no"/>
    <x v="1"/>
    <n v="4795.6567999999997"/>
  </r>
  <r>
    <n v="38"/>
    <s v="male"/>
    <n v="16.815000000000001"/>
    <n v="2"/>
    <s v="no"/>
    <x v="3"/>
    <n v="6640.5448500000002"/>
  </r>
  <r>
    <n v="42"/>
    <s v="male"/>
    <n v="37.18"/>
    <n v="2"/>
    <s v="no"/>
    <x v="1"/>
    <n v="7162.0122000000001"/>
  </r>
  <r>
    <n v="56"/>
    <s v="male"/>
    <n v="34.43"/>
    <n v="0"/>
    <s v="no"/>
    <x v="1"/>
    <n v="10594.225700000001"/>
  </r>
  <r>
    <n v="58"/>
    <s v="male"/>
    <n v="30.305"/>
    <n v="0"/>
    <s v="no"/>
    <x v="3"/>
    <n v="11938.255950000001"/>
  </r>
  <r>
    <n v="52"/>
    <s v="male"/>
    <n v="34.484999999999999"/>
    <n v="3"/>
    <s v="yes"/>
    <x v="2"/>
    <n v="60021.398970000002"/>
  </r>
  <r>
    <n v="20"/>
    <s v="female"/>
    <n v="21.8"/>
    <n v="0"/>
    <s v="yes"/>
    <x v="0"/>
    <n v="20167.336029999999"/>
  </r>
  <r>
    <n v="54"/>
    <s v="female"/>
    <n v="24.605"/>
    <n v="3"/>
    <s v="no"/>
    <x v="2"/>
    <n v="12479.70895"/>
  </r>
  <r>
    <n v="58"/>
    <s v="male"/>
    <n v="23.3"/>
    <n v="0"/>
    <s v="no"/>
    <x v="0"/>
    <n v="11345.519"/>
  </r>
  <r>
    <n v="45"/>
    <s v="female"/>
    <n v="27.83"/>
    <n v="2"/>
    <s v="no"/>
    <x v="1"/>
    <n v="8515.7587000000003"/>
  </r>
  <r>
    <n v="26"/>
    <s v="male"/>
    <n v="31.065000000000001"/>
    <n v="0"/>
    <s v="no"/>
    <x v="2"/>
    <n v="2699.56835"/>
  </r>
  <r>
    <n v="63"/>
    <s v="female"/>
    <n v="21.66"/>
    <n v="0"/>
    <s v="no"/>
    <x v="3"/>
    <n v="14449.8544"/>
  </r>
  <r>
    <n v="58"/>
    <s v="female"/>
    <n v="28.215"/>
    <n v="0"/>
    <s v="no"/>
    <x v="2"/>
    <n v="12224.350850000001"/>
  </r>
  <r>
    <n v="37"/>
    <s v="male"/>
    <n v="22.704999999999998"/>
    <n v="3"/>
    <s v="no"/>
    <x v="3"/>
    <n v="6985.50695"/>
  </r>
  <r>
    <n v="25"/>
    <s v="female"/>
    <n v="42.13"/>
    <n v="1"/>
    <s v="no"/>
    <x v="1"/>
    <n v="3238.4357"/>
  </r>
  <r>
    <n v="52"/>
    <s v="male"/>
    <n v="41.8"/>
    <n v="2"/>
    <s v="yes"/>
    <x v="1"/>
    <n v="47269.853999999999"/>
  </r>
  <r>
    <n v="64"/>
    <s v="male"/>
    <n v="36.96"/>
    <n v="2"/>
    <s v="yes"/>
    <x v="1"/>
    <n v="49577.662400000001"/>
  </r>
  <r>
    <n v="22"/>
    <s v="female"/>
    <n v="21.28"/>
    <n v="3"/>
    <s v="no"/>
    <x v="2"/>
    <n v="4296.2712000000001"/>
  </r>
  <r>
    <n v="28"/>
    <s v="female"/>
    <n v="33.11"/>
    <n v="0"/>
    <s v="no"/>
    <x v="1"/>
    <n v="3171.6149"/>
  </r>
  <r>
    <n v="18"/>
    <s v="male"/>
    <n v="33.33"/>
    <n v="0"/>
    <s v="no"/>
    <x v="1"/>
    <n v="1135.9407000000001"/>
  </r>
  <r>
    <n v="28"/>
    <s v="male"/>
    <n v="24.3"/>
    <n v="5"/>
    <s v="no"/>
    <x v="0"/>
    <n v="5615.3689999999997"/>
  </r>
  <r>
    <n v="45"/>
    <s v="female"/>
    <n v="25.7"/>
    <n v="3"/>
    <s v="no"/>
    <x v="0"/>
    <n v="9101.7980000000007"/>
  </r>
  <r>
    <n v="33"/>
    <s v="male"/>
    <n v="29.4"/>
    <n v="4"/>
    <s v="no"/>
    <x v="0"/>
    <n v="6059.1729999999998"/>
  </r>
  <r>
    <n v="18"/>
    <s v="female"/>
    <n v="39.82"/>
    <n v="0"/>
    <s v="no"/>
    <x v="1"/>
    <n v="1633.9618"/>
  </r>
  <r>
    <n v="32"/>
    <s v="male"/>
    <n v="33.630000000000003"/>
    <n v="1"/>
    <s v="yes"/>
    <x v="3"/>
    <n v="37607.527699999999"/>
  </r>
  <r>
    <n v="24"/>
    <s v="male"/>
    <n v="29.83"/>
    <n v="0"/>
    <s v="yes"/>
    <x v="3"/>
    <n v="18648.421699999999"/>
  </r>
  <r>
    <n v="19"/>
    <s v="male"/>
    <n v="19.8"/>
    <n v="0"/>
    <s v="no"/>
    <x v="0"/>
    <n v="1241.5650000000001"/>
  </r>
  <r>
    <n v="20"/>
    <s v="male"/>
    <n v="27.3"/>
    <n v="0"/>
    <s v="yes"/>
    <x v="0"/>
    <n v="16232.847"/>
  </r>
  <r>
    <n v="40"/>
    <s v="female"/>
    <n v="29.3"/>
    <n v="4"/>
    <s v="no"/>
    <x v="0"/>
    <n v="15828.82173"/>
  </r>
  <r>
    <n v="34"/>
    <s v="female"/>
    <n v="27.72"/>
    <n v="0"/>
    <s v="no"/>
    <x v="1"/>
    <n v="4415.1588000000002"/>
  </r>
  <r>
    <n v="42"/>
    <s v="female"/>
    <n v="37.9"/>
    <n v="0"/>
    <s v="no"/>
    <x v="0"/>
    <n v="6474.0129999999999"/>
  </r>
  <r>
    <n v="51"/>
    <s v="female"/>
    <n v="36.384999999999998"/>
    <n v="3"/>
    <s v="no"/>
    <x v="2"/>
    <n v="11436.738149999999"/>
  </r>
  <r>
    <n v="54"/>
    <s v="female"/>
    <n v="27.645"/>
    <n v="1"/>
    <s v="no"/>
    <x v="2"/>
    <n v="11305.93455"/>
  </r>
  <r>
    <n v="55"/>
    <s v="male"/>
    <n v="37.715000000000003"/>
    <n v="3"/>
    <s v="no"/>
    <x v="2"/>
    <n v="30063.580549999999"/>
  </r>
  <r>
    <n v="52"/>
    <s v="female"/>
    <n v="23.18"/>
    <n v="0"/>
    <s v="no"/>
    <x v="3"/>
    <n v="10197.772199999999"/>
  </r>
  <r>
    <n v="32"/>
    <s v="female"/>
    <n v="20.52"/>
    <n v="0"/>
    <s v="no"/>
    <x v="3"/>
    <n v="4544.2348000000002"/>
  </r>
  <r>
    <n v="28"/>
    <s v="male"/>
    <n v="37.1"/>
    <n v="1"/>
    <s v="no"/>
    <x v="0"/>
    <n v="3277.1610000000001"/>
  </r>
  <r>
    <n v="41"/>
    <s v="female"/>
    <n v="28.05"/>
    <n v="1"/>
    <s v="no"/>
    <x v="1"/>
    <n v="6770.1925000000001"/>
  </r>
  <r>
    <n v="43"/>
    <s v="female"/>
    <n v="29.9"/>
    <n v="1"/>
    <s v="no"/>
    <x v="0"/>
    <n v="7337.7479999999996"/>
  </r>
  <r>
    <n v="49"/>
    <s v="female"/>
    <n v="33.344999999999999"/>
    <n v="2"/>
    <s v="no"/>
    <x v="3"/>
    <n v="10370.912549999999"/>
  </r>
  <r>
    <n v="64"/>
    <s v="male"/>
    <n v="23.76"/>
    <n v="0"/>
    <s v="yes"/>
    <x v="1"/>
    <n v="26926.5144"/>
  </r>
  <r>
    <n v="55"/>
    <s v="female"/>
    <n v="30.5"/>
    <n v="0"/>
    <s v="no"/>
    <x v="0"/>
    <n v="10704.47"/>
  </r>
  <r>
    <n v="24"/>
    <s v="male"/>
    <n v="31.065000000000001"/>
    <n v="0"/>
    <s v="yes"/>
    <x v="3"/>
    <n v="34254.053350000002"/>
  </r>
  <r>
    <n v="20"/>
    <s v="female"/>
    <n v="33.299999999999997"/>
    <n v="0"/>
    <s v="no"/>
    <x v="0"/>
    <n v="1880.4870000000001"/>
  </r>
  <r>
    <n v="45"/>
    <s v="male"/>
    <n v="27.5"/>
    <n v="3"/>
    <s v="no"/>
    <x v="0"/>
    <n v="8615.2999999999993"/>
  </r>
  <r>
    <n v="26"/>
    <s v="male"/>
    <n v="33.914999999999999"/>
    <n v="1"/>
    <s v="no"/>
    <x v="2"/>
    <n v="3292.5298499999999"/>
  </r>
  <r>
    <n v="25"/>
    <s v="female"/>
    <n v="34.484999999999999"/>
    <n v="0"/>
    <s v="no"/>
    <x v="2"/>
    <n v="3021.80915"/>
  </r>
  <r>
    <n v="43"/>
    <s v="male"/>
    <n v="25.52"/>
    <n v="5"/>
    <s v="no"/>
    <x v="1"/>
    <n v="14478.33015"/>
  </r>
  <r>
    <n v="35"/>
    <s v="male"/>
    <n v="27.61"/>
    <n v="1"/>
    <s v="no"/>
    <x v="1"/>
    <n v="4747.0528999999997"/>
  </r>
  <r>
    <n v="26"/>
    <s v="male"/>
    <n v="27.06"/>
    <n v="0"/>
    <s v="yes"/>
    <x v="1"/>
    <n v="17043.341400000001"/>
  </r>
  <r>
    <n v="57"/>
    <s v="male"/>
    <n v="23.7"/>
    <n v="0"/>
    <s v="no"/>
    <x v="0"/>
    <n v="10959.33"/>
  </r>
  <r>
    <n v="22"/>
    <s v="female"/>
    <n v="30.4"/>
    <n v="0"/>
    <s v="no"/>
    <x v="3"/>
    <n v="2741.9479999999999"/>
  </r>
  <r>
    <n v="32"/>
    <s v="female"/>
    <n v="29.734999999999999"/>
    <n v="0"/>
    <s v="no"/>
    <x v="2"/>
    <n v="4357.0436499999996"/>
  </r>
  <r>
    <n v="39"/>
    <s v="male"/>
    <n v="29.925000000000001"/>
    <n v="1"/>
    <s v="yes"/>
    <x v="3"/>
    <n v="22462.043750000001"/>
  </r>
  <r>
    <n v="25"/>
    <s v="female"/>
    <n v="26.79"/>
    <n v="2"/>
    <s v="no"/>
    <x v="2"/>
    <n v="4189.1130999999996"/>
  </r>
  <r>
    <n v="48"/>
    <s v="female"/>
    <n v="33.33"/>
    <n v="0"/>
    <s v="no"/>
    <x v="1"/>
    <n v="8283.6807000000008"/>
  </r>
  <r>
    <n v="47"/>
    <s v="female"/>
    <n v="27.645"/>
    <n v="2"/>
    <s v="yes"/>
    <x v="2"/>
    <n v="24535.698550000001"/>
  </r>
  <r>
    <n v="18"/>
    <s v="female"/>
    <n v="21.66"/>
    <n v="0"/>
    <s v="yes"/>
    <x v="3"/>
    <n v="14283.4594"/>
  </r>
  <r>
    <n v="18"/>
    <s v="male"/>
    <n v="30.03"/>
    <n v="1"/>
    <s v="no"/>
    <x v="1"/>
    <n v="1720.3536999999999"/>
  </r>
  <r>
    <n v="61"/>
    <s v="male"/>
    <n v="36.299999999999997"/>
    <n v="1"/>
    <s v="yes"/>
    <x v="0"/>
    <n v="47403.88"/>
  </r>
  <r>
    <n v="47"/>
    <s v="female"/>
    <n v="24.32"/>
    <n v="0"/>
    <s v="no"/>
    <x v="3"/>
    <n v="8534.6718000000001"/>
  </r>
  <r>
    <n v="28"/>
    <s v="female"/>
    <n v="17.29"/>
    <n v="0"/>
    <s v="no"/>
    <x v="3"/>
    <n v="3732.6251000000002"/>
  </r>
  <r>
    <n v="36"/>
    <s v="female"/>
    <n v="25.9"/>
    <n v="1"/>
    <s v="no"/>
    <x v="0"/>
    <n v="5472.4489999999996"/>
  </r>
  <r>
    <n v="20"/>
    <s v="male"/>
    <n v="39.4"/>
    <n v="2"/>
    <s v="yes"/>
    <x v="0"/>
    <n v="38344.565999999999"/>
  </r>
  <r>
    <n v="44"/>
    <s v="male"/>
    <n v="34.32"/>
    <n v="1"/>
    <s v="no"/>
    <x v="1"/>
    <n v="7147.4727999999996"/>
  </r>
  <r>
    <n v="38"/>
    <s v="female"/>
    <n v="19.95"/>
    <n v="2"/>
    <s v="no"/>
    <x v="3"/>
    <n v="7133.9025000000001"/>
  </r>
  <r>
    <n v="19"/>
    <s v="male"/>
    <n v="34.9"/>
    <n v="0"/>
    <s v="yes"/>
    <x v="0"/>
    <n v="34828.654000000002"/>
  </r>
  <r>
    <n v="21"/>
    <s v="male"/>
    <n v="23.21"/>
    <n v="0"/>
    <s v="no"/>
    <x v="1"/>
    <n v="1515.3449000000001"/>
  </r>
  <r>
    <n v="46"/>
    <s v="male"/>
    <n v="25.745000000000001"/>
    <n v="3"/>
    <s v="no"/>
    <x v="2"/>
    <n v="9301.8935500000007"/>
  </r>
  <r>
    <n v="58"/>
    <s v="male"/>
    <n v="25.175000000000001"/>
    <n v="0"/>
    <s v="no"/>
    <x v="3"/>
    <n v="11931.125249999999"/>
  </r>
  <r>
    <n v="20"/>
    <s v="male"/>
    <n v="22"/>
    <n v="1"/>
    <s v="no"/>
    <x v="0"/>
    <n v="1964.78"/>
  </r>
  <r>
    <n v="18"/>
    <s v="male"/>
    <n v="26.125"/>
    <n v="0"/>
    <s v="no"/>
    <x v="3"/>
    <n v="1708.9257500000001"/>
  </r>
  <r>
    <n v="28"/>
    <s v="female"/>
    <n v="26.51"/>
    <n v="2"/>
    <s v="no"/>
    <x v="1"/>
    <n v="4340.4408999999996"/>
  </r>
  <r>
    <n v="33"/>
    <s v="male"/>
    <n v="27.454999999999998"/>
    <n v="2"/>
    <s v="no"/>
    <x v="2"/>
    <n v="5261.4694499999996"/>
  </r>
  <r>
    <n v="19"/>
    <s v="female"/>
    <n v="25.745000000000001"/>
    <n v="1"/>
    <s v="no"/>
    <x v="2"/>
    <n v="2710.8285500000002"/>
  </r>
  <r>
    <n v="45"/>
    <s v="male"/>
    <n v="30.36"/>
    <n v="0"/>
    <s v="yes"/>
    <x v="1"/>
    <n v="62592.873090000001"/>
  </r>
  <r>
    <n v="62"/>
    <s v="male"/>
    <n v="30.875"/>
    <n v="3"/>
    <s v="yes"/>
    <x v="2"/>
    <n v="46718.163249999998"/>
  </r>
  <r>
    <n v="25"/>
    <s v="female"/>
    <n v="20.8"/>
    <n v="1"/>
    <s v="no"/>
    <x v="0"/>
    <n v="3208.7869999999998"/>
  </r>
  <r>
    <n v="43"/>
    <s v="male"/>
    <n v="27.8"/>
    <n v="0"/>
    <s v="yes"/>
    <x v="0"/>
    <n v="37829.724199999997"/>
  </r>
  <r>
    <n v="42"/>
    <s v="male"/>
    <n v="24.605"/>
    <n v="2"/>
    <s v="yes"/>
    <x v="3"/>
    <n v="21259.377949999998"/>
  </r>
  <r>
    <n v="24"/>
    <s v="female"/>
    <n v="27.72"/>
    <n v="0"/>
    <s v="no"/>
    <x v="1"/>
    <n v="2464.6188000000002"/>
  </r>
  <r>
    <n v="29"/>
    <s v="female"/>
    <n v="21.85"/>
    <n v="0"/>
    <s v="yes"/>
    <x v="3"/>
    <n v="16115.3045"/>
  </r>
  <r>
    <n v="32"/>
    <s v="male"/>
    <n v="28.12"/>
    <n v="4"/>
    <s v="yes"/>
    <x v="2"/>
    <n v="21472.478800000001"/>
  </r>
  <r>
    <n v="25"/>
    <s v="female"/>
    <n v="30.2"/>
    <n v="0"/>
    <s v="yes"/>
    <x v="0"/>
    <n v="33900.652999999998"/>
  </r>
  <r>
    <n v="41"/>
    <s v="male"/>
    <n v="32.200000000000003"/>
    <n v="2"/>
    <s v="no"/>
    <x v="0"/>
    <n v="6875.9610000000002"/>
  </r>
  <r>
    <n v="42"/>
    <s v="male"/>
    <n v="26.315000000000001"/>
    <n v="1"/>
    <s v="no"/>
    <x v="2"/>
    <n v="6940.90985"/>
  </r>
  <r>
    <n v="33"/>
    <s v="female"/>
    <n v="26.695"/>
    <n v="0"/>
    <s v="no"/>
    <x v="2"/>
    <n v="4571.4130500000001"/>
  </r>
  <r>
    <n v="34"/>
    <s v="male"/>
    <n v="42.9"/>
    <n v="1"/>
    <s v="no"/>
    <x v="0"/>
    <n v="4536.259"/>
  </r>
  <r>
    <n v="19"/>
    <s v="female"/>
    <n v="34.700000000000003"/>
    <n v="2"/>
    <s v="yes"/>
    <x v="0"/>
    <n v="36397.576000000001"/>
  </r>
  <r>
    <n v="30"/>
    <s v="female"/>
    <n v="23.655000000000001"/>
    <n v="3"/>
    <s v="yes"/>
    <x v="2"/>
    <n v="18765.87545"/>
  </r>
  <r>
    <n v="18"/>
    <s v="male"/>
    <n v="28.31"/>
    <n v="1"/>
    <s v="no"/>
    <x v="3"/>
    <n v="11272.331389999999"/>
  </r>
  <r>
    <n v="19"/>
    <s v="female"/>
    <n v="20.6"/>
    <n v="0"/>
    <s v="no"/>
    <x v="0"/>
    <n v="1731.6769999999999"/>
  </r>
  <r>
    <n v="18"/>
    <s v="male"/>
    <n v="53.13"/>
    <n v="0"/>
    <s v="no"/>
    <x v="1"/>
    <n v="1163.4627"/>
  </r>
  <r>
    <n v="35"/>
    <s v="male"/>
    <n v="39.71"/>
    <n v="4"/>
    <s v="no"/>
    <x v="3"/>
    <n v="19496.71917"/>
  </r>
  <r>
    <n v="39"/>
    <s v="female"/>
    <n v="26.315000000000001"/>
    <n v="2"/>
    <s v="no"/>
    <x v="2"/>
    <n v="7201.7008500000002"/>
  </r>
  <r>
    <n v="31"/>
    <s v="male"/>
    <n v="31.065000000000001"/>
    <n v="3"/>
    <s v="no"/>
    <x v="2"/>
    <n v="5425.0233500000004"/>
  </r>
  <r>
    <n v="62"/>
    <s v="male"/>
    <n v="26.695"/>
    <n v="0"/>
    <s v="yes"/>
    <x v="3"/>
    <n v="28101.333050000001"/>
  </r>
  <r>
    <n v="62"/>
    <s v="male"/>
    <n v="38.83"/>
    <n v="0"/>
    <s v="no"/>
    <x v="1"/>
    <n v="12981.3457"/>
  </r>
  <r>
    <n v="42"/>
    <s v="female"/>
    <n v="40.369999999999997"/>
    <n v="2"/>
    <s v="yes"/>
    <x v="1"/>
    <n v="43896.376300000004"/>
  </r>
  <r>
    <n v="31"/>
    <s v="male"/>
    <n v="25.934999999999999"/>
    <n v="1"/>
    <s v="no"/>
    <x v="2"/>
    <n v="4239.8926499999998"/>
  </r>
  <r>
    <n v="61"/>
    <s v="male"/>
    <n v="33.534999999999997"/>
    <n v="0"/>
    <s v="no"/>
    <x v="3"/>
    <n v="13143.336649999999"/>
  </r>
  <r>
    <n v="42"/>
    <s v="female"/>
    <n v="32.869999999999997"/>
    <n v="0"/>
    <s v="no"/>
    <x v="3"/>
    <n v="7050.0213000000003"/>
  </r>
  <r>
    <n v="51"/>
    <s v="male"/>
    <n v="30.03"/>
    <n v="1"/>
    <s v="no"/>
    <x v="1"/>
    <n v="9377.9046999999991"/>
  </r>
  <r>
    <n v="23"/>
    <s v="female"/>
    <n v="24.225000000000001"/>
    <n v="2"/>
    <s v="no"/>
    <x v="3"/>
    <n v="22395.74424"/>
  </r>
  <r>
    <n v="52"/>
    <s v="male"/>
    <n v="38.6"/>
    <n v="2"/>
    <s v="no"/>
    <x v="0"/>
    <n v="10325.206"/>
  </r>
  <r>
    <n v="57"/>
    <s v="female"/>
    <n v="25.74"/>
    <n v="2"/>
    <s v="no"/>
    <x v="1"/>
    <n v="12629.1656"/>
  </r>
  <r>
    <n v="23"/>
    <s v="female"/>
    <n v="33.4"/>
    <n v="0"/>
    <s v="no"/>
    <x v="0"/>
    <n v="10795.937330000001"/>
  </r>
  <r>
    <n v="52"/>
    <s v="female"/>
    <n v="44.7"/>
    <n v="3"/>
    <s v="no"/>
    <x v="0"/>
    <n v="11411.684999999999"/>
  </r>
  <r>
    <n v="50"/>
    <s v="male"/>
    <n v="30.97"/>
    <n v="3"/>
    <s v="no"/>
    <x v="2"/>
    <n v="10600.5483"/>
  </r>
  <r>
    <n v="18"/>
    <s v="female"/>
    <n v="31.92"/>
    <n v="0"/>
    <s v="no"/>
    <x v="3"/>
    <n v="2205.9807999999998"/>
  </r>
  <r>
    <n v="18"/>
    <s v="female"/>
    <n v="36.85"/>
    <n v="0"/>
    <s v="no"/>
    <x v="1"/>
    <n v="1629.8335"/>
  </r>
  <r>
    <n v="21"/>
    <s v="female"/>
    <n v="25.8"/>
    <n v="0"/>
    <s v="no"/>
    <x v="0"/>
    <n v="2007.9449999999999"/>
  </r>
  <r>
    <n v="61"/>
    <s v="female"/>
    <n v="29.07"/>
    <n v="0"/>
    <s v="yes"/>
    <x v="2"/>
    <n v="29141.360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7.9"/>
    <n v="0"/>
    <s v="yes"/>
    <x v="0"/>
    <n v="16884.923999999999"/>
  </r>
  <r>
    <n v="18"/>
    <s v="male"/>
    <n v="33.770000000000003"/>
    <n v="1"/>
    <s v="no"/>
    <x v="1"/>
    <n v="1725.5523000000001"/>
  </r>
  <r>
    <n v="28"/>
    <s v="male"/>
    <n v="33"/>
    <n v="3"/>
    <s v="no"/>
    <x v="1"/>
    <n v="4449.4620000000004"/>
  </r>
  <r>
    <n v="33"/>
    <s v="male"/>
    <n v="22.704999999999998"/>
    <n v="0"/>
    <s v="no"/>
    <x v="2"/>
    <n v="21984.47061"/>
  </r>
  <r>
    <n v="32"/>
    <s v="male"/>
    <n v="28.88"/>
    <n v="0"/>
    <s v="no"/>
    <x v="2"/>
    <n v="3866.8552"/>
  </r>
  <r>
    <n v="31"/>
    <s v="female"/>
    <n v="25.74"/>
    <n v="0"/>
    <s v="no"/>
    <x v="1"/>
    <n v="3756.6215999999999"/>
  </r>
  <r>
    <n v="46"/>
    <s v="female"/>
    <n v="33.44"/>
    <n v="1"/>
    <s v="no"/>
    <x v="1"/>
    <n v="8240.5895999999993"/>
  </r>
  <r>
    <n v="37"/>
    <s v="female"/>
    <n v="27.74"/>
    <n v="3"/>
    <s v="no"/>
    <x v="2"/>
    <n v="7281.5056000000004"/>
  </r>
  <r>
    <n v="37"/>
    <s v="male"/>
    <n v="29.83"/>
    <n v="2"/>
    <s v="no"/>
    <x v="3"/>
    <n v="6406.4107000000004"/>
  </r>
  <r>
    <n v="60"/>
    <s v="female"/>
    <n v="25.84"/>
    <n v="0"/>
    <s v="no"/>
    <x v="2"/>
    <n v="28923.136920000001"/>
  </r>
  <r>
    <n v="25"/>
    <s v="male"/>
    <n v="26.22"/>
    <n v="0"/>
    <s v="no"/>
    <x v="3"/>
    <n v="2721.3208"/>
  </r>
  <r>
    <n v="62"/>
    <s v="female"/>
    <n v="26.29"/>
    <n v="0"/>
    <s v="yes"/>
    <x v="1"/>
    <n v="27808.7251"/>
  </r>
  <r>
    <n v="23"/>
    <s v="male"/>
    <n v="34.4"/>
    <n v="0"/>
    <s v="no"/>
    <x v="0"/>
    <n v="1826.8430000000001"/>
  </r>
  <r>
    <n v="56"/>
    <s v="female"/>
    <n v="39.82"/>
    <n v="0"/>
    <s v="no"/>
    <x v="1"/>
    <n v="11090.7178"/>
  </r>
  <r>
    <n v="27"/>
    <s v="male"/>
    <n v="42.13"/>
    <n v="0"/>
    <s v="yes"/>
    <x v="1"/>
    <n v="39611.757700000002"/>
  </r>
  <r>
    <n v="19"/>
    <s v="male"/>
    <n v="24.6"/>
    <n v="1"/>
    <s v="no"/>
    <x v="0"/>
    <n v="1837.2370000000001"/>
  </r>
  <r>
    <n v="52"/>
    <s v="female"/>
    <n v="30.78"/>
    <n v="1"/>
    <s v="no"/>
    <x v="3"/>
    <n v="10797.3362"/>
  </r>
  <r>
    <n v="23"/>
    <s v="male"/>
    <n v="23.844999999999999"/>
    <n v="0"/>
    <s v="no"/>
    <x v="3"/>
    <n v="2395.17155"/>
  </r>
  <r>
    <n v="56"/>
    <s v="male"/>
    <n v="40.299999999999997"/>
    <n v="0"/>
    <s v="no"/>
    <x v="0"/>
    <n v="10602.385"/>
  </r>
  <r>
    <n v="30"/>
    <s v="male"/>
    <n v="35.299999999999997"/>
    <n v="0"/>
    <s v="yes"/>
    <x v="0"/>
    <n v="36837.466999999997"/>
  </r>
  <r>
    <n v="60"/>
    <s v="female"/>
    <n v="36.005000000000003"/>
    <n v="0"/>
    <s v="no"/>
    <x v="3"/>
    <n v="13228.846949999999"/>
  </r>
  <r>
    <n v="30"/>
    <s v="female"/>
    <n v="32.4"/>
    <n v="1"/>
    <s v="no"/>
    <x v="0"/>
    <n v="4149.7359999999999"/>
  </r>
  <r>
    <n v="18"/>
    <s v="male"/>
    <n v="34.1"/>
    <n v="0"/>
    <s v="no"/>
    <x v="1"/>
    <n v="1137.011"/>
  </r>
  <r>
    <n v="34"/>
    <s v="female"/>
    <n v="31.92"/>
    <n v="1"/>
    <s v="yes"/>
    <x v="3"/>
    <n v="37701.876799999998"/>
  </r>
  <r>
    <n v="37"/>
    <s v="male"/>
    <n v="28.024999999999999"/>
    <n v="2"/>
    <s v="no"/>
    <x v="2"/>
    <n v="6203.90175"/>
  </r>
  <r>
    <n v="59"/>
    <s v="female"/>
    <n v="27.72"/>
    <n v="3"/>
    <s v="no"/>
    <x v="1"/>
    <n v="14001.1338"/>
  </r>
  <r>
    <n v="63"/>
    <s v="female"/>
    <n v="23.085000000000001"/>
    <n v="0"/>
    <s v="no"/>
    <x v="3"/>
    <n v="14451.835150000001"/>
  </r>
  <r>
    <n v="55"/>
    <s v="female"/>
    <n v="32.774999999999999"/>
    <n v="2"/>
    <s v="no"/>
    <x v="2"/>
    <n v="12268.632250000001"/>
  </r>
  <r>
    <n v="23"/>
    <s v="male"/>
    <n v="17.385000000000002"/>
    <n v="1"/>
    <s v="no"/>
    <x v="2"/>
    <n v="2775.1921499999999"/>
  </r>
  <r>
    <n v="31"/>
    <s v="male"/>
    <n v="36.299999999999997"/>
    <n v="2"/>
    <s v="yes"/>
    <x v="0"/>
    <n v="38711"/>
  </r>
  <r>
    <n v="22"/>
    <s v="male"/>
    <n v="35.6"/>
    <n v="0"/>
    <s v="yes"/>
    <x v="0"/>
    <n v="35585.576000000001"/>
  </r>
  <r>
    <n v="18"/>
    <s v="female"/>
    <n v="26.315000000000001"/>
    <n v="0"/>
    <s v="no"/>
    <x v="3"/>
    <n v="2198.1898500000002"/>
  </r>
  <r>
    <n v="19"/>
    <s v="female"/>
    <n v="28.6"/>
    <n v="5"/>
    <s v="no"/>
    <x v="0"/>
    <n v="4687.7969999999996"/>
  </r>
  <r>
    <n v="63"/>
    <s v="male"/>
    <n v="28.31"/>
    <n v="0"/>
    <s v="no"/>
    <x v="2"/>
    <n v="13770.097900000001"/>
  </r>
  <r>
    <n v="28"/>
    <s v="male"/>
    <n v="36.4"/>
    <n v="1"/>
    <s v="yes"/>
    <x v="0"/>
    <n v="51194.559139999998"/>
  </r>
  <r>
    <n v="19"/>
    <s v="male"/>
    <n v="20.425000000000001"/>
    <n v="0"/>
    <s v="no"/>
    <x v="2"/>
    <n v="1625.4337499999999"/>
  </r>
  <r>
    <n v="62"/>
    <s v="female"/>
    <n v="32.965000000000003"/>
    <n v="3"/>
    <s v="no"/>
    <x v="2"/>
    <n v="15612.19335"/>
  </r>
  <r>
    <n v="26"/>
    <s v="male"/>
    <n v="20.8"/>
    <n v="0"/>
    <s v="no"/>
    <x v="0"/>
    <n v="2302.3000000000002"/>
  </r>
  <r>
    <n v="35"/>
    <s v="male"/>
    <n v="36.67"/>
    <n v="1"/>
    <s v="yes"/>
    <x v="3"/>
    <n v="39774.276299999998"/>
  </r>
  <r>
    <n v="60"/>
    <s v="male"/>
    <n v="39.9"/>
    <n v="0"/>
    <s v="yes"/>
    <x v="0"/>
    <n v="48173.360999999997"/>
  </r>
  <r>
    <n v="24"/>
    <s v="female"/>
    <n v="26.6"/>
    <n v="0"/>
    <s v="no"/>
    <x v="3"/>
    <n v="3046.0619999999999"/>
  </r>
  <r>
    <n v="31"/>
    <s v="female"/>
    <n v="36.630000000000003"/>
    <n v="2"/>
    <s v="no"/>
    <x v="1"/>
    <n v="4949.7587000000003"/>
  </r>
  <r>
    <n v="41"/>
    <s v="male"/>
    <n v="21.78"/>
    <n v="1"/>
    <s v="no"/>
    <x v="1"/>
    <n v="6272.4772000000003"/>
  </r>
  <r>
    <n v="37"/>
    <s v="female"/>
    <n v="30.8"/>
    <n v="2"/>
    <s v="no"/>
    <x v="1"/>
    <n v="6313.759"/>
  </r>
  <r>
    <n v="38"/>
    <s v="male"/>
    <n v="37.049999999999997"/>
    <n v="1"/>
    <s v="no"/>
    <x v="3"/>
    <n v="6079.6715000000004"/>
  </r>
  <r>
    <n v="55"/>
    <s v="male"/>
    <n v="37.299999999999997"/>
    <n v="0"/>
    <s v="no"/>
    <x v="0"/>
    <n v="20630.283510000001"/>
  </r>
  <r>
    <n v="18"/>
    <s v="female"/>
    <n v="38.664999999999999"/>
    <n v="2"/>
    <s v="no"/>
    <x v="3"/>
    <n v="3393.35635"/>
  </r>
  <r>
    <n v="28"/>
    <s v="female"/>
    <n v="34.770000000000003"/>
    <n v="0"/>
    <s v="no"/>
    <x v="2"/>
    <n v="3556.9223000000002"/>
  </r>
  <r>
    <n v="60"/>
    <s v="female"/>
    <n v="24.53"/>
    <n v="0"/>
    <s v="no"/>
    <x v="1"/>
    <n v="12629.896699999999"/>
  </r>
  <r>
    <n v="36"/>
    <s v="male"/>
    <n v="35.200000000000003"/>
    <n v="1"/>
    <s v="yes"/>
    <x v="1"/>
    <n v="38709.175999999999"/>
  </r>
  <r>
    <n v="18"/>
    <s v="female"/>
    <n v="35.625"/>
    <n v="0"/>
    <s v="no"/>
    <x v="3"/>
    <n v="2211.1307499999998"/>
  </r>
  <r>
    <n v="21"/>
    <s v="female"/>
    <n v="33.630000000000003"/>
    <n v="2"/>
    <s v="no"/>
    <x v="2"/>
    <n v="3579.8287"/>
  </r>
  <r>
    <n v="48"/>
    <s v="male"/>
    <n v="28"/>
    <n v="1"/>
    <s v="yes"/>
    <x v="0"/>
    <n v="23568.272000000001"/>
  </r>
  <r>
    <n v="36"/>
    <s v="male"/>
    <n v="34.43"/>
    <n v="0"/>
    <s v="yes"/>
    <x v="1"/>
    <n v="37742.575700000001"/>
  </r>
  <r>
    <n v="40"/>
    <s v="female"/>
    <n v="28.69"/>
    <n v="3"/>
    <s v="no"/>
    <x v="2"/>
    <n v="8059.6791000000003"/>
  </r>
  <r>
    <n v="58"/>
    <s v="male"/>
    <n v="36.954999999999998"/>
    <n v="2"/>
    <s v="yes"/>
    <x v="2"/>
    <n v="47496.494449999998"/>
  </r>
  <r>
    <n v="58"/>
    <s v="female"/>
    <n v="31.824999999999999"/>
    <n v="2"/>
    <s v="no"/>
    <x v="3"/>
    <n v="13607.36875"/>
  </r>
  <r>
    <n v="18"/>
    <s v="male"/>
    <n v="31.68"/>
    <n v="2"/>
    <s v="yes"/>
    <x v="1"/>
    <n v="34303.167200000004"/>
  </r>
  <r>
    <n v="53"/>
    <s v="female"/>
    <n v="22.88"/>
    <n v="1"/>
    <s v="yes"/>
    <x v="1"/>
    <n v="23244.790199999999"/>
  </r>
  <r>
    <n v="34"/>
    <s v="female"/>
    <n v="37.335000000000001"/>
    <n v="2"/>
    <s v="no"/>
    <x v="2"/>
    <n v="5989.5236500000001"/>
  </r>
  <r>
    <n v="43"/>
    <s v="male"/>
    <n v="27.36"/>
    <n v="3"/>
    <s v="no"/>
    <x v="3"/>
    <n v="8606.2173999999995"/>
  </r>
  <r>
    <n v="25"/>
    <s v="male"/>
    <n v="33.659999999999997"/>
    <n v="4"/>
    <s v="no"/>
    <x v="1"/>
    <n v="4504.6624000000002"/>
  </r>
  <r>
    <n v="64"/>
    <s v="male"/>
    <n v="24.7"/>
    <n v="1"/>
    <s v="no"/>
    <x v="2"/>
    <n v="30166.618170000002"/>
  </r>
  <r>
    <n v="28"/>
    <s v="female"/>
    <n v="25.934999999999999"/>
    <n v="1"/>
    <s v="no"/>
    <x v="2"/>
    <n v="4133.6416499999996"/>
  </r>
  <r>
    <n v="20"/>
    <s v="female"/>
    <n v="22.42"/>
    <n v="0"/>
    <s v="yes"/>
    <x v="2"/>
    <n v="14711.7438"/>
  </r>
  <r>
    <n v="19"/>
    <s v="female"/>
    <n v="28.9"/>
    <n v="0"/>
    <s v="no"/>
    <x v="0"/>
    <n v="1743.2139999999999"/>
  </r>
  <r>
    <n v="61"/>
    <s v="female"/>
    <n v="39.1"/>
    <n v="2"/>
    <s v="no"/>
    <x v="0"/>
    <n v="14235.072"/>
  </r>
  <r>
    <n v="40"/>
    <s v="male"/>
    <n v="26.315000000000001"/>
    <n v="1"/>
    <s v="no"/>
    <x v="2"/>
    <n v="6389.3778499999999"/>
  </r>
  <r>
    <n v="40"/>
    <s v="female"/>
    <n v="36.19"/>
    <n v="0"/>
    <s v="no"/>
    <x v="1"/>
    <n v="5920.1040999999996"/>
  </r>
  <r>
    <n v="28"/>
    <s v="male"/>
    <n v="23.98"/>
    <n v="3"/>
    <s v="yes"/>
    <x v="1"/>
    <n v="17663.144199999999"/>
  </r>
  <r>
    <n v="27"/>
    <s v="female"/>
    <n v="24.75"/>
    <n v="0"/>
    <s v="yes"/>
    <x v="1"/>
    <n v="16577.779500000001"/>
  </r>
  <r>
    <n v="31"/>
    <s v="male"/>
    <n v="28.5"/>
    <n v="5"/>
    <s v="no"/>
    <x v="3"/>
    <n v="6799.4579999999996"/>
  </r>
  <r>
    <n v="53"/>
    <s v="female"/>
    <n v="28.1"/>
    <n v="3"/>
    <s v="no"/>
    <x v="0"/>
    <n v="11741.726000000001"/>
  </r>
  <r>
    <n v="58"/>
    <s v="male"/>
    <n v="32.01"/>
    <n v="1"/>
    <s v="no"/>
    <x v="1"/>
    <n v="11946.625899999999"/>
  </r>
  <r>
    <n v="44"/>
    <s v="male"/>
    <n v="27.4"/>
    <n v="2"/>
    <s v="no"/>
    <x v="0"/>
    <n v="7726.8540000000003"/>
  </r>
  <r>
    <n v="57"/>
    <s v="male"/>
    <n v="34.01"/>
    <n v="0"/>
    <s v="no"/>
    <x v="2"/>
    <n v="11356.660900000001"/>
  </r>
  <r>
    <n v="29"/>
    <s v="female"/>
    <n v="29.59"/>
    <n v="1"/>
    <s v="no"/>
    <x v="1"/>
    <n v="3947.4131000000002"/>
  </r>
  <r>
    <n v="21"/>
    <s v="male"/>
    <n v="35.53"/>
    <n v="0"/>
    <s v="no"/>
    <x v="1"/>
    <n v="1532.4697000000001"/>
  </r>
  <r>
    <n v="22"/>
    <s v="female"/>
    <n v="39.805"/>
    <n v="0"/>
    <s v="no"/>
    <x v="3"/>
    <n v="2755.0209500000001"/>
  </r>
  <r>
    <n v="41"/>
    <s v="female"/>
    <n v="32.965000000000003"/>
    <n v="0"/>
    <s v="no"/>
    <x v="2"/>
    <n v="6571.0243499999997"/>
  </r>
  <r>
    <n v="31"/>
    <s v="male"/>
    <n v="26.885000000000002"/>
    <n v="1"/>
    <s v="no"/>
    <x v="3"/>
    <n v="4441.2131499999996"/>
  </r>
  <r>
    <n v="45"/>
    <s v="female"/>
    <n v="38.284999999999997"/>
    <n v="0"/>
    <s v="no"/>
    <x v="3"/>
    <n v="7935.29115"/>
  </r>
  <r>
    <n v="22"/>
    <s v="male"/>
    <n v="37.619999999999997"/>
    <n v="1"/>
    <s v="yes"/>
    <x v="1"/>
    <n v="37165.163800000002"/>
  </r>
  <r>
    <n v="48"/>
    <s v="female"/>
    <n v="41.23"/>
    <n v="4"/>
    <s v="no"/>
    <x v="2"/>
    <n v="11033.661700000001"/>
  </r>
  <r>
    <n v="37"/>
    <s v="female"/>
    <n v="34.799999999999997"/>
    <n v="2"/>
    <s v="yes"/>
    <x v="0"/>
    <n v="39836.519"/>
  </r>
  <r>
    <n v="45"/>
    <s v="male"/>
    <n v="22.895"/>
    <n v="2"/>
    <s v="yes"/>
    <x v="2"/>
    <n v="21098.554049999999"/>
  </r>
  <r>
    <n v="57"/>
    <s v="female"/>
    <n v="31.16"/>
    <n v="0"/>
    <s v="yes"/>
    <x v="2"/>
    <n v="43578.939400000003"/>
  </r>
  <r>
    <n v="56"/>
    <s v="female"/>
    <n v="27.2"/>
    <n v="0"/>
    <s v="no"/>
    <x v="0"/>
    <n v="11073.175999999999"/>
  </r>
  <r>
    <n v="46"/>
    <s v="female"/>
    <n v="27.74"/>
    <n v="0"/>
    <s v="no"/>
    <x v="2"/>
    <n v="8026.6665999999996"/>
  </r>
  <r>
    <n v="55"/>
    <s v="female"/>
    <n v="26.98"/>
    <n v="0"/>
    <s v="no"/>
    <x v="2"/>
    <n v="11082.5772"/>
  </r>
  <r>
    <n v="21"/>
    <s v="female"/>
    <n v="39.49"/>
    <n v="0"/>
    <s v="no"/>
    <x v="1"/>
    <n v="2026.9740999999999"/>
  </r>
  <r>
    <n v="53"/>
    <s v="female"/>
    <n v="24.795000000000002"/>
    <n v="1"/>
    <s v="no"/>
    <x v="2"/>
    <n v="10942.13205"/>
  </r>
  <r>
    <n v="59"/>
    <s v="male"/>
    <n v="29.83"/>
    <n v="3"/>
    <s v="yes"/>
    <x v="3"/>
    <n v="30184.936699999998"/>
  </r>
  <r>
    <n v="35"/>
    <s v="male"/>
    <n v="34.770000000000003"/>
    <n v="2"/>
    <s v="no"/>
    <x v="2"/>
    <n v="5729.0052999999998"/>
  </r>
  <r>
    <n v="64"/>
    <s v="female"/>
    <n v="31.3"/>
    <n v="2"/>
    <s v="yes"/>
    <x v="0"/>
    <n v="47291.055"/>
  </r>
  <r>
    <n v="28"/>
    <s v="female"/>
    <n v="37.619999999999997"/>
    <n v="1"/>
    <s v="no"/>
    <x v="1"/>
    <n v="3766.8838000000001"/>
  </r>
  <r>
    <n v="54"/>
    <s v="female"/>
    <n v="30.8"/>
    <n v="3"/>
    <s v="no"/>
    <x v="0"/>
    <n v="12105.32"/>
  </r>
  <r>
    <n v="55"/>
    <s v="male"/>
    <n v="38.28"/>
    <n v="0"/>
    <s v="no"/>
    <x v="1"/>
    <n v="10226.2842"/>
  </r>
  <r>
    <n v="56"/>
    <s v="male"/>
    <n v="19.95"/>
    <n v="0"/>
    <s v="yes"/>
    <x v="3"/>
    <n v="22412.648499999999"/>
  </r>
  <r>
    <n v="38"/>
    <s v="male"/>
    <n v="19.3"/>
    <n v="0"/>
    <s v="yes"/>
    <x v="0"/>
    <n v="15820.699000000001"/>
  </r>
  <r>
    <n v="41"/>
    <s v="female"/>
    <n v="31.6"/>
    <n v="0"/>
    <s v="no"/>
    <x v="0"/>
    <n v="6186.1270000000004"/>
  </r>
  <r>
    <n v="30"/>
    <s v="male"/>
    <n v="25.46"/>
    <n v="0"/>
    <s v="no"/>
    <x v="3"/>
    <n v="3645.0893999999998"/>
  </r>
  <r>
    <n v="18"/>
    <s v="female"/>
    <n v="30.114999999999998"/>
    <n v="0"/>
    <s v="no"/>
    <x v="3"/>
    <n v="21344.846699999998"/>
  </r>
  <r>
    <n v="61"/>
    <s v="female"/>
    <n v="29.92"/>
    <n v="3"/>
    <s v="yes"/>
    <x v="1"/>
    <n v="30942.191800000001"/>
  </r>
  <r>
    <n v="34"/>
    <s v="female"/>
    <n v="27.5"/>
    <n v="1"/>
    <s v="no"/>
    <x v="0"/>
    <n v="5003.8530000000001"/>
  </r>
  <r>
    <n v="20"/>
    <s v="male"/>
    <n v="28.024999999999999"/>
    <n v="1"/>
    <s v="yes"/>
    <x v="2"/>
    <n v="17560.37975"/>
  </r>
  <r>
    <n v="19"/>
    <s v="female"/>
    <n v="28.4"/>
    <n v="1"/>
    <s v="no"/>
    <x v="0"/>
    <n v="2331.5189999999998"/>
  </r>
  <r>
    <n v="26"/>
    <s v="male"/>
    <n v="30.875"/>
    <n v="2"/>
    <s v="no"/>
    <x v="2"/>
    <n v="3877.3042500000001"/>
  </r>
  <r>
    <n v="29"/>
    <s v="male"/>
    <n v="27.94"/>
    <n v="0"/>
    <s v="no"/>
    <x v="1"/>
    <n v="2867.1196"/>
  </r>
  <r>
    <n v="63"/>
    <s v="male"/>
    <n v="35.090000000000003"/>
    <n v="0"/>
    <s v="yes"/>
    <x v="1"/>
    <n v="47055.532099999997"/>
  </r>
  <r>
    <n v="54"/>
    <s v="male"/>
    <n v="33.630000000000003"/>
    <n v="1"/>
    <s v="no"/>
    <x v="2"/>
    <n v="10825.253699999999"/>
  </r>
  <r>
    <n v="55"/>
    <s v="female"/>
    <n v="29.7"/>
    <n v="2"/>
    <s v="no"/>
    <x v="0"/>
    <n v="11881.358"/>
  </r>
  <r>
    <n v="37"/>
    <s v="male"/>
    <n v="30.8"/>
    <n v="0"/>
    <s v="no"/>
    <x v="0"/>
    <n v="4646.759"/>
  </r>
  <r>
    <n v="21"/>
    <s v="female"/>
    <n v="35.72"/>
    <n v="0"/>
    <s v="no"/>
    <x v="2"/>
    <n v="2404.7338"/>
  </r>
  <r>
    <n v="52"/>
    <s v="male"/>
    <n v="32.204999999999998"/>
    <n v="3"/>
    <s v="no"/>
    <x v="3"/>
    <n v="11488.31695"/>
  </r>
  <r>
    <n v="60"/>
    <s v="male"/>
    <n v="28.594999999999999"/>
    <n v="0"/>
    <s v="no"/>
    <x v="3"/>
    <n v="30259.995559999999"/>
  </r>
  <r>
    <n v="58"/>
    <s v="male"/>
    <n v="49.06"/>
    <n v="0"/>
    <s v="no"/>
    <x v="1"/>
    <n v="11381.3254"/>
  </r>
  <r>
    <n v="29"/>
    <s v="female"/>
    <n v="27.94"/>
    <n v="1"/>
    <s v="yes"/>
    <x v="1"/>
    <n v="19107.779600000002"/>
  </r>
  <r>
    <n v="49"/>
    <s v="female"/>
    <n v="27.17"/>
    <n v="0"/>
    <s v="no"/>
    <x v="1"/>
    <n v="8601.3292999999994"/>
  </r>
  <r>
    <n v="37"/>
    <s v="female"/>
    <n v="23.37"/>
    <n v="2"/>
    <s v="no"/>
    <x v="2"/>
    <n v="6686.4313000000002"/>
  </r>
  <r>
    <n v="44"/>
    <s v="male"/>
    <n v="37.1"/>
    <n v="2"/>
    <s v="no"/>
    <x v="0"/>
    <n v="7740.3370000000004"/>
  </r>
  <r>
    <n v="18"/>
    <s v="male"/>
    <n v="23.75"/>
    <n v="0"/>
    <s v="no"/>
    <x v="3"/>
    <n v="1705.6244999999999"/>
  </r>
  <r>
    <n v="20"/>
    <s v="female"/>
    <n v="28.975000000000001"/>
    <n v="0"/>
    <s v="no"/>
    <x v="2"/>
    <n v="2257.47525"/>
  </r>
  <r>
    <n v="44"/>
    <s v="male"/>
    <n v="31.35"/>
    <n v="1"/>
    <s v="yes"/>
    <x v="3"/>
    <n v="39556.494500000001"/>
  </r>
  <r>
    <n v="47"/>
    <s v="female"/>
    <n v="33.914999999999999"/>
    <n v="3"/>
    <s v="no"/>
    <x v="2"/>
    <n v="10115.00885"/>
  </r>
  <r>
    <n v="26"/>
    <s v="female"/>
    <n v="28.785"/>
    <n v="0"/>
    <s v="no"/>
    <x v="3"/>
    <n v="3385.3991500000002"/>
  </r>
  <r>
    <n v="19"/>
    <s v="female"/>
    <n v="28.3"/>
    <n v="0"/>
    <s v="yes"/>
    <x v="0"/>
    <n v="17081.080000000002"/>
  </r>
  <r>
    <n v="52"/>
    <s v="female"/>
    <n v="37.4"/>
    <n v="0"/>
    <s v="no"/>
    <x v="0"/>
    <n v="9634.5380000000005"/>
  </r>
  <r>
    <n v="32"/>
    <s v="female"/>
    <n v="17.765000000000001"/>
    <n v="2"/>
    <s v="yes"/>
    <x v="2"/>
    <n v="32734.186300000001"/>
  </r>
  <r>
    <n v="38"/>
    <s v="male"/>
    <n v="34.700000000000003"/>
    <n v="2"/>
    <s v="no"/>
    <x v="0"/>
    <n v="6082.4049999999997"/>
  </r>
  <r>
    <n v="59"/>
    <s v="female"/>
    <n v="26.504999999999999"/>
    <n v="0"/>
    <s v="no"/>
    <x v="3"/>
    <n v="12815.444949999999"/>
  </r>
  <r>
    <n v="61"/>
    <s v="female"/>
    <n v="22.04"/>
    <n v="0"/>
    <s v="no"/>
    <x v="3"/>
    <n v="13616.3586"/>
  </r>
  <r>
    <n v="53"/>
    <s v="female"/>
    <n v="35.9"/>
    <n v="2"/>
    <s v="no"/>
    <x v="0"/>
    <n v="11163.567999999999"/>
  </r>
  <r>
    <n v="19"/>
    <s v="male"/>
    <n v="25.555"/>
    <n v="0"/>
    <s v="no"/>
    <x v="2"/>
    <n v="1632.5644500000001"/>
  </r>
  <r>
    <n v="20"/>
    <s v="female"/>
    <n v="28.785"/>
    <n v="0"/>
    <s v="no"/>
    <x v="3"/>
    <n v="2457.2111500000001"/>
  </r>
  <r>
    <n v="22"/>
    <s v="female"/>
    <n v="28.05"/>
    <n v="0"/>
    <s v="no"/>
    <x v="1"/>
    <n v="2155.6815000000001"/>
  </r>
  <r>
    <n v="19"/>
    <s v="male"/>
    <n v="34.1"/>
    <n v="0"/>
    <s v="no"/>
    <x v="0"/>
    <n v="1261.442"/>
  </r>
  <r>
    <n v="22"/>
    <s v="male"/>
    <n v="25.175000000000001"/>
    <n v="0"/>
    <s v="no"/>
    <x v="2"/>
    <n v="2045.68525"/>
  </r>
  <r>
    <n v="54"/>
    <s v="female"/>
    <n v="31.9"/>
    <n v="3"/>
    <s v="no"/>
    <x v="1"/>
    <n v="27322.73386"/>
  </r>
  <r>
    <n v="22"/>
    <s v="female"/>
    <n v="36"/>
    <n v="0"/>
    <s v="no"/>
    <x v="0"/>
    <n v="2166.732"/>
  </r>
  <r>
    <n v="34"/>
    <s v="male"/>
    <n v="22.42"/>
    <n v="2"/>
    <s v="no"/>
    <x v="3"/>
    <n v="27375.904780000001"/>
  </r>
  <r>
    <n v="26"/>
    <s v="male"/>
    <n v="32.49"/>
    <n v="1"/>
    <s v="no"/>
    <x v="3"/>
    <n v="3490.5491000000002"/>
  </r>
  <r>
    <n v="34"/>
    <s v="male"/>
    <n v="25.3"/>
    <n v="2"/>
    <s v="yes"/>
    <x v="1"/>
    <n v="18972.494999999999"/>
  </r>
  <r>
    <n v="29"/>
    <s v="male"/>
    <n v="29.734999999999999"/>
    <n v="2"/>
    <s v="no"/>
    <x v="2"/>
    <n v="18157.876"/>
  </r>
  <r>
    <n v="30"/>
    <s v="male"/>
    <n v="28.69"/>
    <n v="3"/>
    <s v="yes"/>
    <x v="2"/>
    <n v="20745.989099999999"/>
  </r>
  <r>
    <n v="29"/>
    <s v="female"/>
    <n v="38.83"/>
    <n v="3"/>
    <s v="no"/>
    <x v="1"/>
    <n v="5138.2566999999999"/>
  </r>
  <r>
    <n v="46"/>
    <s v="male"/>
    <n v="30.495000000000001"/>
    <n v="3"/>
    <s v="yes"/>
    <x v="2"/>
    <n v="40720.551050000002"/>
  </r>
  <r>
    <n v="51"/>
    <s v="female"/>
    <n v="37.729999999999997"/>
    <n v="1"/>
    <s v="no"/>
    <x v="1"/>
    <n v="9877.6077000000005"/>
  </r>
  <r>
    <n v="53"/>
    <s v="female"/>
    <n v="37.43"/>
    <n v="1"/>
    <s v="no"/>
    <x v="2"/>
    <n v="10959.6947"/>
  </r>
  <r>
    <n v="19"/>
    <s v="male"/>
    <n v="28.4"/>
    <n v="1"/>
    <s v="no"/>
    <x v="0"/>
    <n v="1842.519"/>
  </r>
  <r>
    <n v="35"/>
    <s v="male"/>
    <n v="24.13"/>
    <n v="1"/>
    <s v="no"/>
    <x v="2"/>
    <n v="5125.2156999999997"/>
  </r>
  <r>
    <n v="48"/>
    <s v="male"/>
    <n v="29.7"/>
    <n v="0"/>
    <s v="no"/>
    <x v="1"/>
    <n v="7789.6350000000002"/>
  </r>
  <r>
    <n v="32"/>
    <s v="female"/>
    <n v="37.145000000000003"/>
    <n v="3"/>
    <s v="no"/>
    <x v="3"/>
    <n v="6334.3435499999996"/>
  </r>
  <r>
    <n v="42"/>
    <s v="female"/>
    <n v="23.37"/>
    <n v="0"/>
    <s v="yes"/>
    <x v="3"/>
    <n v="19964.746299999999"/>
  </r>
  <r>
    <n v="40"/>
    <s v="female"/>
    <n v="25.46"/>
    <n v="1"/>
    <s v="no"/>
    <x v="3"/>
    <n v="7077.1894000000002"/>
  </r>
  <r>
    <n v="44"/>
    <s v="male"/>
    <n v="39.520000000000003"/>
    <n v="0"/>
    <s v="no"/>
    <x v="2"/>
    <n v="6948.7007999999996"/>
  </r>
  <r>
    <n v="48"/>
    <s v="male"/>
    <n v="24.42"/>
    <n v="0"/>
    <s v="yes"/>
    <x v="1"/>
    <n v="21223.675800000001"/>
  </r>
  <r>
    <n v="18"/>
    <s v="male"/>
    <n v="25.175000000000001"/>
    <n v="0"/>
    <s v="yes"/>
    <x v="3"/>
    <n v="15518.180249999999"/>
  </r>
  <r>
    <n v="30"/>
    <s v="male"/>
    <n v="35.53"/>
    <n v="0"/>
    <s v="yes"/>
    <x v="1"/>
    <n v="36950.256699999998"/>
  </r>
  <r>
    <n v="50"/>
    <s v="female"/>
    <n v="27.83"/>
    <n v="3"/>
    <s v="no"/>
    <x v="1"/>
    <n v="19749.383379999999"/>
  </r>
  <r>
    <n v="42"/>
    <s v="female"/>
    <n v="26.6"/>
    <n v="0"/>
    <s v="yes"/>
    <x v="2"/>
    <n v="21348.705999999998"/>
  </r>
  <r>
    <n v="18"/>
    <s v="female"/>
    <n v="36.85"/>
    <n v="0"/>
    <s v="yes"/>
    <x v="1"/>
    <n v="36149.483500000002"/>
  </r>
  <r>
    <n v="54"/>
    <s v="male"/>
    <n v="39.6"/>
    <n v="1"/>
    <s v="no"/>
    <x v="0"/>
    <n v="10450.552"/>
  </r>
  <r>
    <n v="32"/>
    <s v="female"/>
    <n v="29.8"/>
    <n v="2"/>
    <s v="no"/>
    <x v="0"/>
    <n v="5152.134"/>
  </r>
  <r>
    <n v="37"/>
    <s v="male"/>
    <n v="29.64"/>
    <n v="0"/>
    <s v="no"/>
    <x v="2"/>
    <n v="5028.1466"/>
  </r>
  <r>
    <n v="47"/>
    <s v="male"/>
    <n v="28.215"/>
    <n v="4"/>
    <s v="no"/>
    <x v="3"/>
    <n v="10407.085849999999"/>
  </r>
  <r>
    <n v="20"/>
    <s v="female"/>
    <n v="37"/>
    <n v="5"/>
    <s v="no"/>
    <x v="0"/>
    <n v="4830.63"/>
  </r>
  <r>
    <n v="32"/>
    <s v="female"/>
    <n v="33.155000000000001"/>
    <n v="3"/>
    <s v="no"/>
    <x v="2"/>
    <n v="6128.79745"/>
  </r>
  <r>
    <n v="19"/>
    <s v="female"/>
    <n v="31.824999999999999"/>
    <n v="1"/>
    <s v="no"/>
    <x v="2"/>
    <n v="2719.2797500000001"/>
  </r>
  <r>
    <n v="27"/>
    <s v="male"/>
    <n v="18.905000000000001"/>
    <n v="3"/>
    <s v="no"/>
    <x v="3"/>
    <n v="4827.9049500000001"/>
  </r>
  <r>
    <n v="63"/>
    <s v="male"/>
    <n v="41.47"/>
    <n v="0"/>
    <s v="no"/>
    <x v="1"/>
    <n v="13405.390299999999"/>
  </r>
  <r>
    <n v="49"/>
    <s v="male"/>
    <n v="30.3"/>
    <n v="0"/>
    <s v="no"/>
    <x v="0"/>
    <n v="8116.68"/>
  </r>
  <r>
    <n v="18"/>
    <s v="male"/>
    <n v="15.96"/>
    <n v="0"/>
    <s v="no"/>
    <x v="3"/>
    <n v="1694.7963999999999"/>
  </r>
  <r>
    <n v="35"/>
    <s v="female"/>
    <n v="34.799999999999997"/>
    <n v="1"/>
    <s v="no"/>
    <x v="0"/>
    <n v="5246.0469999999996"/>
  </r>
  <r>
    <n v="24"/>
    <s v="female"/>
    <n v="33.344999999999999"/>
    <n v="0"/>
    <s v="no"/>
    <x v="2"/>
    <n v="2855.4375500000001"/>
  </r>
  <r>
    <n v="63"/>
    <s v="female"/>
    <n v="37.700000000000003"/>
    <n v="0"/>
    <s v="yes"/>
    <x v="0"/>
    <n v="48824.45"/>
  </r>
  <r>
    <n v="38"/>
    <s v="male"/>
    <n v="27.835000000000001"/>
    <n v="2"/>
    <s v="no"/>
    <x v="2"/>
    <n v="6455.86265"/>
  </r>
  <r>
    <n v="54"/>
    <s v="male"/>
    <n v="29.2"/>
    <n v="1"/>
    <s v="no"/>
    <x v="0"/>
    <n v="10436.096"/>
  </r>
  <r>
    <n v="46"/>
    <s v="female"/>
    <n v="28.9"/>
    <n v="2"/>
    <s v="no"/>
    <x v="0"/>
    <n v="8823.2790000000005"/>
  </r>
  <r>
    <n v="41"/>
    <s v="female"/>
    <n v="33.155000000000001"/>
    <n v="3"/>
    <s v="no"/>
    <x v="3"/>
    <n v="8538.28845"/>
  </r>
  <r>
    <n v="58"/>
    <s v="male"/>
    <n v="28.594999999999999"/>
    <n v="0"/>
    <s v="no"/>
    <x v="2"/>
    <n v="11735.87905"/>
  </r>
  <r>
    <n v="18"/>
    <s v="female"/>
    <n v="38.28"/>
    <n v="0"/>
    <s v="no"/>
    <x v="1"/>
    <n v="1631.8212000000001"/>
  </r>
  <r>
    <n v="22"/>
    <s v="male"/>
    <n v="19.95"/>
    <n v="3"/>
    <s v="no"/>
    <x v="3"/>
    <n v="4005.4225000000001"/>
  </r>
  <r>
    <n v="44"/>
    <s v="female"/>
    <n v="26.41"/>
    <n v="0"/>
    <s v="no"/>
    <x v="2"/>
    <n v="7419.4778999999999"/>
  </r>
  <r>
    <n v="44"/>
    <s v="male"/>
    <n v="30.69"/>
    <n v="2"/>
    <s v="no"/>
    <x v="1"/>
    <n v="7731.4270999999999"/>
  </r>
  <r>
    <n v="36"/>
    <s v="male"/>
    <n v="41.895000000000003"/>
    <n v="3"/>
    <s v="yes"/>
    <x v="3"/>
    <n v="43753.337050000002"/>
  </r>
  <r>
    <n v="26"/>
    <s v="female"/>
    <n v="29.92"/>
    <n v="2"/>
    <s v="no"/>
    <x v="1"/>
    <n v="3981.9767999999999"/>
  </r>
  <r>
    <n v="30"/>
    <s v="female"/>
    <n v="30.9"/>
    <n v="3"/>
    <s v="no"/>
    <x v="0"/>
    <n v="5325.6509999999998"/>
  </r>
  <r>
    <n v="41"/>
    <s v="female"/>
    <n v="32.200000000000003"/>
    <n v="1"/>
    <s v="no"/>
    <x v="0"/>
    <n v="6775.9610000000002"/>
  </r>
  <r>
    <n v="29"/>
    <s v="female"/>
    <n v="32.11"/>
    <n v="2"/>
    <s v="no"/>
    <x v="2"/>
    <n v="4922.9159"/>
  </r>
  <r>
    <n v="61"/>
    <s v="male"/>
    <n v="31.57"/>
    <n v="0"/>
    <s v="no"/>
    <x v="1"/>
    <n v="12557.605299999999"/>
  </r>
  <r>
    <n v="36"/>
    <s v="female"/>
    <n v="26.2"/>
    <n v="0"/>
    <s v="no"/>
    <x v="0"/>
    <n v="4883.866"/>
  </r>
  <r>
    <n v="25"/>
    <s v="male"/>
    <n v="25.74"/>
    <n v="0"/>
    <s v="no"/>
    <x v="1"/>
    <n v="2137.6536000000001"/>
  </r>
  <r>
    <n v="56"/>
    <s v="female"/>
    <n v="26.6"/>
    <n v="1"/>
    <s v="no"/>
    <x v="2"/>
    <n v="12044.342000000001"/>
  </r>
  <r>
    <n v="18"/>
    <s v="male"/>
    <n v="34.43"/>
    <n v="0"/>
    <s v="no"/>
    <x v="1"/>
    <n v="1137.4697000000001"/>
  </r>
  <r>
    <n v="19"/>
    <s v="male"/>
    <n v="30.59"/>
    <n v="0"/>
    <s v="no"/>
    <x v="2"/>
    <n v="1639.5631000000001"/>
  </r>
  <r>
    <n v="39"/>
    <s v="female"/>
    <n v="32.799999999999997"/>
    <n v="0"/>
    <s v="no"/>
    <x v="0"/>
    <n v="5649.7150000000001"/>
  </r>
  <r>
    <n v="45"/>
    <s v="female"/>
    <n v="28.6"/>
    <n v="2"/>
    <s v="no"/>
    <x v="1"/>
    <n v="8516.8289999999997"/>
  </r>
  <r>
    <n v="51"/>
    <s v="female"/>
    <n v="18.05"/>
    <n v="0"/>
    <s v="no"/>
    <x v="2"/>
    <n v="9644.2525000000005"/>
  </r>
  <r>
    <n v="64"/>
    <s v="female"/>
    <n v="39.33"/>
    <n v="0"/>
    <s v="no"/>
    <x v="3"/>
    <n v="14901.5167"/>
  </r>
  <r>
    <n v="19"/>
    <s v="female"/>
    <n v="32.11"/>
    <n v="0"/>
    <s v="no"/>
    <x v="2"/>
    <n v="2130.6759000000002"/>
  </r>
  <r>
    <n v="48"/>
    <s v="female"/>
    <n v="32.229999999999997"/>
    <n v="1"/>
    <s v="no"/>
    <x v="1"/>
    <n v="8871.1517000000003"/>
  </r>
  <r>
    <n v="60"/>
    <s v="female"/>
    <n v="24.035"/>
    <n v="0"/>
    <s v="no"/>
    <x v="2"/>
    <n v="13012.20865"/>
  </r>
  <r>
    <n v="27"/>
    <s v="female"/>
    <n v="36.08"/>
    <n v="0"/>
    <s v="yes"/>
    <x v="1"/>
    <n v="37133.898200000003"/>
  </r>
  <r>
    <n v="46"/>
    <s v="male"/>
    <n v="22.3"/>
    <n v="0"/>
    <s v="no"/>
    <x v="0"/>
    <n v="7147.1049999999996"/>
  </r>
  <r>
    <n v="28"/>
    <s v="female"/>
    <n v="28.88"/>
    <n v="1"/>
    <s v="no"/>
    <x v="3"/>
    <n v="4337.7352000000001"/>
  </r>
  <r>
    <n v="59"/>
    <s v="male"/>
    <n v="26.4"/>
    <n v="0"/>
    <s v="no"/>
    <x v="1"/>
    <n v="11743.299000000001"/>
  </r>
  <r>
    <n v="35"/>
    <s v="male"/>
    <n v="27.74"/>
    <n v="2"/>
    <s v="yes"/>
    <x v="3"/>
    <n v="20984.0936"/>
  </r>
  <r>
    <n v="63"/>
    <s v="female"/>
    <n v="31.8"/>
    <n v="0"/>
    <s v="no"/>
    <x v="0"/>
    <n v="13880.949000000001"/>
  </r>
  <r>
    <n v="40"/>
    <s v="male"/>
    <n v="41.23"/>
    <n v="1"/>
    <s v="no"/>
    <x v="3"/>
    <n v="6610.1097"/>
  </r>
  <r>
    <n v="20"/>
    <s v="male"/>
    <n v="33"/>
    <n v="1"/>
    <s v="no"/>
    <x v="0"/>
    <n v="1980.07"/>
  </r>
  <r>
    <n v="40"/>
    <s v="male"/>
    <n v="30.875"/>
    <n v="4"/>
    <s v="no"/>
    <x v="2"/>
    <n v="8162.7162500000004"/>
  </r>
  <r>
    <n v="24"/>
    <s v="male"/>
    <n v="28.5"/>
    <n v="2"/>
    <s v="no"/>
    <x v="2"/>
    <n v="3537.703"/>
  </r>
  <r>
    <n v="34"/>
    <s v="female"/>
    <n v="26.73"/>
    <n v="1"/>
    <s v="no"/>
    <x v="1"/>
    <n v="5002.7826999999997"/>
  </r>
  <r>
    <n v="45"/>
    <s v="female"/>
    <n v="30.9"/>
    <n v="2"/>
    <s v="no"/>
    <x v="0"/>
    <n v="8520.0259999999998"/>
  </r>
  <r>
    <n v="41"/>
    <s v="female"/>
    <n v="37.1"/>
    <n v="2"/>
    <s v="no"/>
    <x v="0"/>
    <n v="7371.7719999999999"/>
  </r>
  <r>
    <n v="53"/>
    <s v="female"/>
    <n v="26.6"/>
    <n v="0"/>
    <s v="no"/>
    <x v="2"/>
    <n v="10355.641"/>
  </r>
  <r>
    <n v="27"/>
    <s v="male"/>
    <n v="23.1"/>
    <n v="0"/>
    <s v="no"/>
    <x v="1"/>
    <n v="2483.7359999999999"/>
  </r>
  <r>
    <n v="26"/>
    <s v="female"/>
    <n v="29.92"/>
    <n v="1"/>
    <s v="no"/>
    <x v="1"/>
    <n v="3392.9767999999999"/>
  </r>
  <r>
    <n v="24"/>
    <s v="female"/>
    <n v="23.21"/>
    <n v="0"/>
    <s v="no"/>
    <x v="1"/>
    <n v="25081.76784"/>
  </r>
  <r>
    <n v="34"/>
    <s v="female"/>
    <n v="33.700000000000003"/>
    <n v="1"/>
    <s v="no"/>
    <x v="0"/>
    <n v="5012.4709999999995"/>
  </r>
  <r>
    <n v="53"/>
    <s v="female"/>
    <n v="33.25"/>
    <n v="0"/>
    <s v="no"/>
    <x v="3"/>
    <n v="10564.8845"/>
  </r>
  <r>
    <n v="32"/>
    <s v="male"/>
    <n v="30.8"/>
    <n v="3"/>
    <s v="no"/>
    <x v="0"/>
    <n v="5253.5240000000003"/>
  </r>
  <r>
    <n v="19"/>
    <s v="male"/>
    <n v="34.799999999999997"/>
    <n v="0"/>
    <s v="yes"/>
    <x v="0"/>
    <n v="34779.614999999998"/>
  </r>
  <r>
    <n v="42"/>
    <s v="male"/>
    <n v="24.64"/>
    <n v="0"/>
    <s v="yes"/>
    <x v="1"/>
    <n v="19515.5416"/>
  </r>
  <r>
    <n v="55"/>
    <s v="male"/>
    <n v="33.880000000000003"/>
    <n v="3"/>
    <s v="no"/>
    <x v="1"/>
    <n v="11987.1682"/>
  </r>
  <r>
    <n v="28"/>
    <s v="male"/>
    <n v="38.06"/>
    <n v="0"/>
    <s v="no"/>
    <x v="1"/>
    <n v="2689.4953999999998"/>
  </r>
  <r>
    <n v="58"/>
    <s v="female"/>
    <n v="41.91"/>
    <n v="0"/>
    <s v="no"/>
    <x v="1"/>
    <n v="24227.337240000001"/>
  </r>
  <r>
    <n v="41"/>
    <s v="female"/>
    <n v="31.635000000000002"/>
    <n v="1"/>
    <s v="no"/>
    <x v="3"/>
    <n v="7358.1756500000001"/>
  </r>
  <r>
    <n v="47"/>
    <s v="male"/>
    <n v="25.46"/>
    <n v="2"/>
    <s v="no"/>
    <x v="3"/>
    <n v="9225.2564000000002"/>
  </r>
  <r>
    <n v="42"/>
    <s v="female"/>
    <n v="36.195"/>
    <n v="1"/>
    <s v="no"/>
    <x v="2"/>
    <n v="7443.6430499999997"/>
  </r>
  <r>
    <n v="59"/>
    <s v="female"/>
    <n v="27.83"/>
    <n v="3"/>
    <s v="no"/>
    <x v="1"/>
    <n v="14001.286700000001"/>
  </r>
  <r>
    <n v="19"/>
    <s v="female"/>
    <n v="17.8"/>
    <n v="0"/>
    <s v="no"/>
    <x v="0"/>
    <n v="1727.7850000000001"/>
  </r>
  <r>
    <n v="59"/>
    <s v="male"/>
    <n v="27.5"/>
    <n v="1"/>
    <s v="no"/>
    <x v="0"/>
    <n v="12333.828"/>
  </r>
  <r>
    <n v="39"/>
    <s v="male"/>
    <n v="24.51"/>
    <n v="2"/>
    <s v="no"/>
    <x v="2"/>
    <n v="6710.1918999999998"/>
  </r>
  <r>
    <n v="40"/>
    <s v="female"/>
    <n v="22.22"/>
    <n v="2"/>
    <s v="yes"/>
    <x v="1"/>
    <n v="19444.265800000001"/>
  </r>
  <r>
    <n v="18"/>
    <s v="female"/>
    <n v="26.73"/>
    <n v="0"/>
    <s v="no"/>
    <x v="1"/>
    <n v="1615.7666999999999"/>
  </r>
  <r>
    <n v="31"/>
    <s v="male"/>
    <n v="38.39"/>
    <n v="2"/>
    <s v="no"/>
    <x v="1"/>
    <n v="4463.2051000000001"/>
  </r>
  <r>
    <n v="19"/>
    <s v="male"/>
    <n v="29.07"/>
    <n v="0"/>
    <s v="yes"/>
    <x v="2"/>
    <n v="17352.6803"/>
  </r>
  <r>
    <n v="44"/>
    <s v="male"/>
    <n v="38.06"/>
    <n v="1"/>
    <s v="no"/>
    <x v="1"/>
    <n v="7152.6714000000002"/>
  </r>
  <r>
    <n v="23"/>
    <s v="female"/>
    <n v="36.67"/>
    <n v="2"/>
    <s v="yes"/>
    <x v="3"/>
    <n v="38511.628299999997"/>
  </r>
  <r>
    <n v="33"/>
    <s v="female"/>
    <n v="22.135000000000002"/>
    <n v="1"/>
    <s v="no"/>
    <x v="3"/>
    <n v="5354.0746499999996"/>
  </r>
  <r>
    <n v="55"/>
    <s v="female"/>
    <n v="26.8"/>
    <n v="1"/>
    <s v="no"/>
    <x v="0"/>
    <n v="35160.134570000002"/>
  </r>
  <r>
    <n v="40"/>
    <s v="male"/>
    <n v="35.299999999999997"/>
    <n v="3"/>
    <s v="no"/>
    <x v="0"/>
    <n v="7196.8670000000002"/>
  </r>
  <r>
    <n v="63"/>
    <s v="female"/>
    <n v="27.74"/>
    <n v="0"/>
    <s v="yes"/>
    <x v="3"/>
    <n v="29523.1656"/>
  </r>
  <r>
    <n v="54"/>
    <s v="male"/>
    <n v="30.02"/>
    <n v="0"/>
    <s v="no"/>
    <x v="2"/>
    <n v="24476.478510000001"/>
  </r>
  <r>
    <n v="60"/>
    <s v="female"/>
    <n v="38.06"/>
    <n v="0"/>
    <s v="no"/>
    <x v="1"/>
    <n v="12648.7034"/>
  </r>
  <r>
    <n v="24"/>
    <s v="male"/>
    <n v="35.86"/>
    <n v="0"/>
    <s v="no"/>
    <x v="1"/>
    <n v="1986.9333999999999"/>
  </r>
  <r>
    <n v="19"/>
    <s v="male"/>
    <n v="20.9"/>
    <n v="1"/>
    <s v="no"/>
    <x v="0"/>
    <n v="1832.0940000000001"/>
  </r>
  <r>
    <n v="29"/>
    <s v="male"/>
    <n v="28.975000000000001"/>
    <n v="1"/>
    <s v="no"/>
    <x v="3"/>
    <n v="4040.55825"/>
  </r>
  <r>
    <n v="18"/>
    <s v="male"/>
    <n v="17.29"/>
    <n v="2"/>
    <s v="yes"/>
    <x v="3"/>
    <n v="12829.455099999999"/>
  </r>
  <r>
    <n v="63"/>
    <s v="female"/>
    <n v="32.200000000000003"/>
    <n v="2"/>
    <s v="yes"/>
    <x v="0"/>
    <n v="47305.305"/>
  </r>
  <r>
    <n v="54"/>
    <s v="male"/>
    <n v="34.21"/>
    <n v="2"/>
    <s v="yes"/>
    <x v="1"/>
    <n v="44260.749900000003"/>
  </r>
  <r>
    <n v="27"/>
    <s v="male"/>
    <n v="30.3"/>
    <n v="3"/>
    <s v="no"/>
    <x v="0"/>
    <n v="4260.7439999999997"/>
  </r>
  <r>
    <n v="50"/>
    <s v="male"/>
    <n v="31.824999999999999"/>
    <n v="0"/>
    <s v="yes"/>
    <x v="3"/>
    <n v="41097.161749999999"/>
  </r>
  <r>
    <n v="55"/>
    <s v="female"/>
    <n v="25.364999999999998"/>
    <n v="3"/>
    <s v="no"/>
    <x v="3"/>
    <n v="13047.332350000001"/>
  </r>
  <r>
    <n v="56"/>
    <s v="male"/>
    <n v="33.630000000000003"/>
    <n v="0"/>
    <s v="yes"/>
    <x v="2"/>
    <n v="43921.183700000001"/>
  </r>
  <r>
    <n v="38"/>
    <s v="female"/>
    <n v="40.15"/>
    <n v="0"/>
    <s v="no"/>
    <x v="1"/>
    <n v="5400.9804999999997"/>
  </r>
  <r>
    <n v="51"/>
    <s v="male"/>
    <n v="24.414999999999999"/>
    <n v="4"/>
    <s v="no"/>
    <x v="2"/>
    <n v="11520.099850000001"/>
  </r>
  <r>
    <n v="19"/>
    <s v="male"/>
    <n v="31.92"/>
    <n v="0"/>
    <s v="yes"/>
    <x v="2"/>
    <n v="33750.291799999999"/>
  </r>
  <r>
    <n v="58"/>
    <s v="female"/>
    <n v="25.2"/>
    <n v="0"/>
    <s v="no"/>
    <x v="0"/>
    <n v="11837.16"/>
  </r>
  <r>
    <n v="20"/>
    <s v="female"/>
    <n v="26.84"/>
    <n v="1"/>
    <s v="yes"/>
    <x v="1"/>
    <n v="17085.267599999999"/>
  </r>
  <r>
    <n v="52"/>
    <s v="male"/>
    <n v="24.32"/>
    <n v="3"/>
    <s v="yes"/>
    <x v="3"/>
    <n v="24869.836800000001"/>
  </r>
  <r>
    <n v="19"/>
    <s v="male"/>
    <n v="36.954999999999998"/>
    <n v="0"/>
    <s v="yes"/>
    <x v="2"/>
    <n v="36219.405449999998"/>
  </r>
  <r>
    <n v="53"/>
    <s v="female"/>
    <n v="38.06"/>
    <n v="3"/>
    <s v="no"/>
    <x v="1"/>
    <n v="20462.997660000001"/>
  </r>
  <r>
    <n v="46"/>
    <s v="male"/>
    <n v="42.35"/>
    <n v="3"/>
    <s v="yes"/>
    <x v="1"/>
    <n v="46151.124499999998"/>
  </r>
  <r>
    <n v="40"/>
    <s v="male"/>
    <n v="19.8"/>
    <n v="1"/>
    <s v="yes"/>
    <x v="1"/>
    <n v="17179.522000000001"/>
  </r>
  <r>
    <n v="59"/>
    <s v="female"/>
    <n v="32.395000000000003"/>
    <n v="3"/>
    <s v="no"/>
    <x v="3"/>
    <n v="14590.63205"/>
  </r>
  <r>
    <n v="45"/>
    <s v="male"/>
    <n v="30.2"/>
    <n v="1"/>
    <s v="no"/>
    <x v="0"/>
    <n v="7441.0529999999999"/>
  </r>
  <r>
    <n v="49"/>
    <s v="male"/>
    <n v="25.84"/>
    <n v="1"/>
    <s v="no"/>
    <x v="3"/>
    <n v="9282.4806000000008"/>
  </r>
  <r>
    <n v="18"/>
    <s v="male"/>
    <n v="29.37"/>
    <n v="1"/>
    <s v="no"/>
    <x v="1"/>
    <n v="1719.4363000000001"/>
  </r>
  <r>
    <n v="50"/>
    <s v="male"/>
    <n v="34.200000000000003"/>
    <n v="2"/>
    <s v="yes"/>
    <x v="0"/>
    <n v="42856.838000000003"/>
  </r>
  <r>
    <n v="41"/>
    <s v="male"/>
    <n v="37.049999999999997"/>
    <n v="2"/>
    <s v="no"/>
    <x v="2"/>
    <n v="7265.7025000000003"/>
  </r>
  <r>
    <n v="50"/>
    <s v="male"/>
    <n v="27.454999999999998"/>
    <n v="1"/>
    <s v="no"/>
    <x v="3"/>
    <n v="9617.6624499999998"/>
  </r>
  <r>
    <n v="25"/>
    <s v="male"/>
    <n v="27.55"/>
    <n v="0"/>
    <s v="no"/>
    <x v="2"/>
    <n v="2523.1695"/>
  </r>
  <r>
    <n v="47"/>
    <s v="female"/>
    <n v="26.6"/>
    <n v="2"/>
    <s v="no"/>
    <x v="3"/>
    <n v="9715.8410000000003"/>
  </r>
  <r>
    <n v="19"/>
    <s v="male"/>
    <n v="20.614999999999998"/>
    <n v="2"/>
    <s v="no"/>
    <x v="2"/>
    <n v="2803.69785"/>
  </r>
  <r>
    <n v="22"/>
    <s v="female"/>
    <n v="24.3"/>
    <n v="0"/>
    <s v="no"/>
    <x v="0"/>
    <n v="2150.4690000000001"/>
  </r>
  <r>
    <n v="59"/>
    <s v="male"/>
    <n v="31.79"/>
    <n v="2"/>
    <s v="no"/>
    <x v="1"/>
    <n v="12928.7911"/>
  </r>
  <r>
    <n v="51"/>
    <s v="female"/>
    <n v="21.56"/>
    <n v="1"/>
    <s v="no"/>
    <x v="1"/>
    <n v="9855.1314000000002"/>
  </r>
  <r>
    <n v="40"/>
    <s v="female"/>
    <n v="28.12"/>
    <n v="1"/>
    <s v="yes"/>
    <x v="3"/>
    <n v="22331.566800000001"/>
  </r>
  <r>
    <n v="54"/>
    <s v="male"/>
    <n v="40.564999999999998"/>
    <n v="3"/>
    <s v="yes"/>
    <x v="3"/>
    <n v="48549.178350000002"/>
  </r>
  <r>
    <n v="30"/>
    <s v="male"/>
    <n v="27.645"/>
    <n v="1"/>
    <s v="no"/>
    <x v="3"/>
    <n v="4237.12655"/>
  </r>
  <r>
    <n v="55"/>
    <s v="female"/>
    <n v="32.395000000000003"/>
    <n v="1"/>
    <s v="no"/>
    <x v="3"/>
    <n v="11879.10405"/>
  </r>
  <r>
    <n v="52"/>
    <s v="female"/>
    <n v="31.2"/>
    <n v="0"/>
    <s v="no"/>
    <x v="0"/>
    <n v="9625.92"/>
  </r>
  <r>
    <n v="46"/>
    <s v="male"/>
    <n v="26.62"/>
    <n v="1"/>
    <s v="no"/>
    <x v="1"/>
    <n v="7742.1098000000002"/>
  </r>
  <r>
    <n v="46"/>
    <s v="female"/>
    <n v="48.07"/>
    <n v="2"/>
    <s v="no"/>
    <x v="3"/>
    <n v="9432.9253000000008"/>
  </r>
  <r>
    <n v="63"/>
    <s v="female"/>
    <n v="26.22"/>
    <n v="0"/>
    <s v="no"/>
    <x v="2"/>
    <n v="14256.192800000001"/>
  </r>
  <r>
    <n v="59"/>
    <s v="female"/>
    <n v="36.765000000000001"/>
    <n v="1"/>
    <s v="yes"/>
    <x v="3"/>
    <n v="47896.79135"/>
  </r>
  <r>
    <n v="52"/>
    <s v="male"/>
    <n v="26.4"/>
    <n v="3"/>
    <s v="no"/>
    <x v="1"/>
    <n v="25992.821039999999"/>
  </r>
  <r>
    <n v="28"/>
    <s v="female"/>
    <n v="33.4"/>
    <n v="0"/>
    <s v="no"/>
    <x v="0"/>
    <n v="3172.018"/>
  </r>
  <r>
    <n v="29"/>
    <s v="male"/>
    <n v="29.64"/>
    <n v="1"/>
    <s v="no"/>
    <x v="3"/>
    <n v="20277.807509999999"/>
  </r>
  <r>
    <n v="25"/>
    <s v="male"/>
    <n v="45.54"/>
    <n v="2"/>
    <s v="yes"/>
    <x v="1"/>
    <n v="42112.2356"/>
  </r>
  <r>
    <n v="22"/>
    <s v="female"/>
    <n v="28.82"/>
    <n v="0"/>
    <s v="no"/>
    <x v="1"/>
    <n v="2156.7518"/>
  </r>
  <r>
    <n v="25"/>
    <s v="male"/>
    <n v="26.8"/>
    <n v="3"/>
    <s v="no"/>
    <x v="0"/>
    <n v="3906.127"/>
  </r>
  <r>
    <n v="18"/>
    <s v="male"/>
    <n v="22.99"/>
    <n v="0"/>
    <s v="no"/>
    <x v="3"/>
    <n v="1704.5681"/>
  </r>
  <r>
    <n v="19"/>
    <s v="male"/>
    <n v="27.7"/>
    <n v="0"/>
    <s v="yes"/>
    <x v="0"/>
    <n v="16297.846"/>
  </r>
  <r>
    <n v="47"/>
    <s v="male"/>
    <n v="25.41"/>
    <n v="1"/>
    <s v="yes"/>
    <x v="1"/>
    <n v="21978.676899999999"/>
  </r>
  <r>
    <n v="31"/>
    <s v="male"/>
    <n v="34.39"/>
    <n v="3"/>
    <s v="yes"/>
    <x v="2"/>
    <n v="38746.355100000001"/>
  </r>
  <r>
    <n v="48"/>
    <s v="female"/>
    <n v="28.88"/>
    <n v="1"/>
    <s v="no"/>
    <x v="2"/>
    <n v="9249.4951999999994"/>
  </r>
  <r>
    <n v="36"/>
    <s v="male"/>
    <n v="27.55"/>
    <n v="3"/>
    <s v="no"/>
    <x v="3"/>
    <n v="6746.7425000000003"/>
  </r>
  <r>
    <n v="53"/>
    <s v="female"/>
    <n v="22.61"/>
    <n v="3"/>
    <s v="yes"/>
    <x v="3"/>
    <n v="24873.384900000001"/>
  </r>
  <r>
    <n v="56"/>
    <s v="female"/>
    <n v="37.51"/>
    <n v="2"/>
    <s v="no"/>
    <x v="1"/>
    <n v="12265.5069"/>
  </r>
  <r>
    <n v="28"/>
    <s v="female"/>
    <n v="33"/>
    <n v="2"/>
    <s v="no"/>
    <x v="1"/>
    <n v="4349.4620000000004"/>
  </r>
  <r>
    <n v="57"/>
    <s v="female"/>
    <n v="38"/>
    <n v="2"/>
    <s v="no"/>
    <x v="0"/>
    <n v="12646.207"/>
  </r>
  <r>
    <n v="29"/>
    <s v="male"/>
    <n v="33.344999999999999"/>
    <n v="2"/>
    <s v="no"/>
    <x v="2"/>
    <n v="19442.353500000001"/>
  </r>
  <r>
    <n v="28"/>
    <s v="female"/>
    <n v="27.5"/>
    <n v="2"/>
    <s v="no"/>
    <x v="0"/>
    <n v="20177.671129999999"/>
  </r>
  <r>
    <n v="30"/>
    <s v="female"/>
    <n v="33.33"/>
    <n v="1"/>
    <s v="no"/>
    <x v="1"/>
    <n v="4151.0286999999998"/>
  </r>
  <r>
    <n v="58"/>
    <s v="male"/>
    <n v="34.865000000000002"/>
    <n v="0"/>
    <s v="no"/>
    <x v="3"/>
    <n v="11944.594349999999"/>
  </r>
  <r>
    <n v="41"/>
    <s v="female"/>
    <n v="33.06"/>
    <n v="2"/>
    <s v="no"/>
    <x v="2"/>
    <n v="7749.1563999999998"/>
  </r>
  <r>
    <n v="50"/>
    <s v="male"/>
    <n v="26.6"/>
    <n v="0"/>
    <s v="no"/>
    <x v="0"/>
    <n v="8444.4740000000002"/>
  </r>
  <r>
    <n v="19"/>
    <s v="female"/>
    <n v="24.7"/>
    <n v="0"/>
    <s v="no"/>
    <x v="0"/>
    <n v="1737.376"/>
  </r>
  <r>
    <n v="43"/>
    <s v="male"/>
    <n v="35.97"/>
    <n v="3"/>
    <s v="yes"/>
    <x v="1"/>
    <n v="42124.515299999999"/>
  </r>
  <r>
    <n v="49"/>
    <s v="male"/>
    <n v="35.86"/>
    <n v="0"/>
    <s v="no"/>
    <x v="1"/>
    <n v="8124.4084000000003"/>
  </r>
  <r>
    <n v="27"/>
    <s v="female"/>
    <n v="31.4"/>
    <n v="0"/>
    <s v="yes"/>
    <x v="0"/>
    <n v="34838.873"/>
  </r>
  <r>
    <n v="52"/>
    <s v="male"/>
    <n v="33.25"/>
    <n v="0"/>
    <s v="no"/>
    <x v="3"/>
    <n v="9722.7695000000003"/>
  </r>
  <r>
    <n v="50"/>
    <s v="male"/>
    <n v="32.204999999999998"/>
    <n v="0"/>
    <s v="no"/>
    <x v="2"/>
    <n v="8835.2649500000007"/>
  </r>
  <r>
    <n v="54"/>
    <s v="male"/>
    <n v="32.774999999999999"/>
    <n v="0"/>
    <s v="no"/>
    <x v="3"/>
    <n v="10435.06525"/>
  </r>
  <r>
    <n v="44"/>
    <s v="female"/>
    <n v="27.645"/>
    <n v="0"/>
    <s v="no"/>
    <x v="2"/>
    <n v="7421.1945500000002"/>
  </r>
  <r>
    <n v="32"/>
    <s v="male"/>
    <n v="37.335000000000001"/>
    <n v="1"/>
    <s v="no"/>
    <x v="3"/>
    <n v="4667.6076499999999"/>
  </r>
  <r>
    <n v="34"/>
    <s v="male"/>
    <n v="25.27"/>
    <n v="1"/>
    <s v="no"/>
    <x v="2"/>
    <n v="4894.7533000000003"/>
  </r>
  <r>
    <n v="26"/>
    <s v="female"/>
    <n v="29.64"/>
    <n v="4"/>
    <s v="no"/>
    <x v="3"/>
    <n v="24671.663339999999"/>
  </r>
  <r>
    <n v="34"/>
    <s v="male"/>
    <n v="30.8"/>
    <n v="0"/>
    <s v="yes"/>
    <x v="0"/>
    <n v="35491.64"/>
  </r>
  <r>
    <n v="57"/>
    <s v="male"/>
    <n v="40.945"/>
    <n v="0"/>
    <s v="no"/>
    <x v="3"/>
    <n v="11566.30055"/>
  </r>
  <r>
    <n v="29"/>
    <s v="male"/>
    <n v="27.2"/>
    <n v="0"/>
    <s v="no"/>
    <x v="0"/>
    <n v="2866.0909999999999"/>
  </r>
  <r>
    <n v="40"/>
    <s v="male"/>
    <n v="34.104999999999997"/>
    <n v="1"/>
    <s v="no"/>
    <x v="3"/>
    <n v="6600.2059499999996"/>
  </r>
  <r>
    <n v="27"/>
    <s v="female"/>
    <n v="23.21"/>
    <n v="1"/>
    <s v="no"/>
    <x v="1"/>
    <n v="3561.8888999999999"/>
  </r>
  <r>
    <n v="45"/>
    <s v="male"/>
    <n v="36.479999999999997"/>
    <n v="2"/>
    <s v="yes"/>
    <x v="2"/>
    <n v="42760.502200000003"/>
  </r>
  <r>
    <n v="64"/>
    <s v="female"/>
    <n v="33.799999999999997"/>
    <n v="1"/>
    <s v="yes"/>
    <x v="0"/>
    <n v="47928.03"/>
  </r>
  <r>
    <n v="52"/>
    <s v="male"/>
    <n v="36.700000000000003"/>
    <n v="0"/>
    <s v="no"/>
    <x v="0"/>
    <n v="9144.5650000000005"/>
  </r>
  <r>
    <n v="61"/>
    <s v="female"/>
    <n v="36.384999999999998"/>
    <n v="1"/>
    <s v="yes"/>
    <x v="3"/>
    <n v="48517.563150000002"/>
  </r>
  <r>
    <n v="52"/>
    <s v="male"/>
    <n v="27.36"/>
    <n v="0"/>
    <s v="yes"/>
    <x v="2"/>
    <n v="24393.6224"/>
  </r>
  <r>
    <n v="61"/>
    <s v="female"/>
    <n v="31.16"/>
    <n v="0"/>
    <s v="no"/>
    <x v="2"/>
    <n v="13429.035400000001"/>
  </r>
  <r>
    <n v="56"/>
    <s v="female"/>
    <n v="28.785"/>
    <n v="0"/>
    <s v="no"/>
    <x v="3"/>
    <n v="11658.379150000001"/>
  </r>
  <r>
    <n v="43"/>
    <s v="female"/>
    <n v="35.72"/>
    <n v="2"/>
    <s v="no"/>
    <x v="3"/>
    <n v="19144.576519999999"/>
  </r>
  <r>
    <n v="64"/>
    <s v="male"/>
    <n v="34.5"/>
    <n v="0"/>
    <s v="no"/>
    <x v="0"/>
    <n v="13822.803"/>
  </r>
  <r>
    <n v="60"/>
    <s v="male"/>
    <n v="25.74"/>
    <n v="0"/>
    <s v="no"/>
    <x v="1"/>
    <n v="12142.578600000001"/>
  </r>
  <r>
    <n v="62"/>
    <s v="male"/>
    <n v="27.55"/>
    <n v="1"/>
    <s v="no"/>
    <x v="2"/>
    <n v="13937.666499999999"/>
  </r>
  <r>
    <n v="50"/>
    <s v="male"/>
    <n v="32.299999999999997"/>
    <n v="1"/>
    <s v="yes"/>
    <x v="3"/>
    <n v="41919.097000000002"/>
  </r>
  <r>
    <n v="46"/>
    <s v="female"/>
    <n v="27.72"/>
    <n v="1"/>
    <s v="no"/>
    <x v="1"/>
    <n v="8232.6388000000006"/>
  </r>
  <r>
    <n v="24"/>
    <s v="female"/>
    <n v="27.6"/>
    <n v="0"/>
    <s v="no"/>
    <x v="0"/>
    <n v="18955.220170000001"/>
  </r>
  <r>
    <n v="62"/>
    <s v="male"/>
    <n v="30.02"/>
    <n v="0"/>
    <s v="no"/>
    <x v="2"/>
    <n v="13352.0998"/>
  </r>
  <r>
    <n v="60"/>
    <s v="female"/>
    <n v="27.55"/>
    <n v="0"/>
    <s v="no"/>
    <x v="3"/>
    <n v="13217.094499999999"/>
  </r>
  <r>
    <n v="63"/>
    <s v="male"/>
    <n v="36.765000000000001"/>
    <n v="0"/>
    <s v="no"/>
    <x v="3"/>
    <n v="13981.850350000001"/>
  </r>
  <r>
    <n v="49"/>
    <s v="female"/>
    <n v="41.47"/>
    <n v="4"/>
    <s v="no"/>
    <x v="1"/>
    <n v="10977.2063"/>
  </r>
  <r>
    <n v="34"/>
    <s v="female"/>
    <n v="29.26"/>
    <n v="3"/>
    <s v="no"/>
    <x v="1"/>
    <n v="6184.2993999999999"/>
  </r>
  <r>
    <n v="33"/>
    <s v="male"/>
    <n v="35.75"/>
    <n v="2"/>
    <s v="no"/>
    <x v="1"/>
    <n v="4889.9994999999999"/>
  </r>
  <r>
    <n v="46"/>
    <s v="male"/>
    <n v="33.344999999999999"/>
    <n v="1"/>
    <s v="no"/>
    <x v="3"/>
    <n v="8334.4575499999992"/>
  </r>
  <r>
    <n v="36"/>
    <s v="female"/>
    <n v="29.92"/>
    <n v="1"/>
    <s v="no"/>
    <x v="1"/>
    <n v="5478.0367999999999"/>
  </r>
  <r>
    <n v="19"/>
    <s v="male"/>
    <n v="27.835000000000001"/>
    <n v="0"/>
    <s v="no"/>
    <x v="2"/>
    <n v="1635.7336499999999"/>
  </r>
  <r>
    <n v="57"/>
    <s v="female"/>
    <n v="23.18"/>
    <n v="0"/>
    <s v="no"/>
    <x v="2"/>
    <n v="11830.6072"/>
  </r>
  <r>
    <n v="50"/>
    <s v="female"/>
    <n v="25.6"/>
    <n v="0"/>
    <s v="no"/>
    <x v="0"/>
    <n v="8932.0840000000007"/>
  </r>
  <r>
    <n v="30"/>
    <s v="female"/>
    <n v="27.7"/>
    <n v="0"/>
    <s v="no"/>
    <x v="0"/>
    <n v="3554.203"/>
  </r>
  <r>
    <n v="33"/>
    <s v="male"/>
    <n v="35.244999999999997"/>
    <n v="0"/>
    <s v="no"/>
    <x v="3"/>
    <n v="12404.8791"/>
  </r>
  <r>
    <n v="18"/>
    <s v="female"/>
    <n v="38.28"/>
    <n v="0"/>
    <s v="no"/>
    <x v="1"/>
    <n v="14133.03775"/>
  </r>
  <r>
    <n v="46"/>
    <s v="male"/>
    <n v="27.6"/>
    <n v="0"/>
    <s v="no"/>
    <x v="0"/>
    <n v="24603.04837"/>
  </r>
  <r>
    <n v="46"/>
    <s v="male"/>
    <n v="43.89"/>
    <n v="3"/>
    <s v="no"/>
    <x v="1"/>
    <n v="8944.1151000000009"/>
  </r>
  <r>
    <n v="47"/>
    <s v="male"/>
    <n v="29.83"/>
    <n v="3"/>
    <s v="no"/>
    <x v="2"/>
    <n v="9620.3307000000004"/>
  </r>
  <r>
    <n v="23"/>
    <s v="male"/>
    <n v="41.91"/>
    <n v="0"/>
    <s v="no"/>
    <x v="1"/>
    <n v="1837.2819"/>
  </r>
  <r>
    <n v="18"/>
    <s v="female"/>
    <n v="20.79"/>
    <n v="0"/>
    <s v="no"/>
    <x v="1"/>
    <n v="1607.5101"/>
  </r>
  <r>
    <n v="48"/>
    <s v="female"/>
    <n v="32.299999999999997"/>
    <n v="2"/>
    <s v="no"/>
    <x v="3"/>
    <n v="10043.249"/>
  </r>
  <r>
    <n v="35"/>
    <s v="male"/>
    <n v="30.5"/>
    <n v="1"/>
    <s v="no"/>
    <x v="0"/>
    <n v="4751.07"/>
  </r>
  <r>
    <n v="19"/>
    <s v="female"/>
    <n v="21.7"/>
    <n v="0"/>
    <s v="yes"/>
    <x v="0"/>
    <n v="13844.505999999999"/>
  </r>
  <r>
    <n v="21"/>
    <s v="female"/>
    <n v="26.4"/>
    <n v="1"/>
    <s v="no"/>
    <x v="0"/>
    <n v="2597.779"/>
  </r>
  <r>
    <n v="21"/>
    <s v="female"/>
    <n v="21.89"/>
    <n v="2"/>
    <s v="no"/>
    <x v="1"/>
    <n v="3180.5101"/>
  </r>
  <r>
    <n v="49"/>
    <s v="female"/>
    <n v="30.78"/>
    <n v="1"/>
    <s v="no"/>
    <x v="3"/>
    <n v="9778.3472000000002"/>
  </r>
  <r>
    <n v="56"/>
    <s v="female"/>
    <n v="32.299999999999997"/>
    <n v="3"/>
    <s v="no"/>
    <x v="3"/>
    <n v="13430.264999999999"/>
  </r>
  <r>
    <n v="42"/>
    <s v="female"/>
    <n v="24.984999999999999"/>
    <n v="2"/>
    <s v="no"/>
    <x v="2"/>
    <n v="8017.0611500000005"/>
  </r>
  <r>
    <n v="44"/>
    <s v="male"/>
    <n v="32.015000000000001"/>
    <n v="2"/>
    <s v="no"/>
    <x v="2"/>
    <n v="8116.2688500000004"/>
  </r>
  <r>
    <n v="18"/>
    <s v="male"/>
    <n v="30.4"/>
    <n v="3"/>
    <s v="no"/>
    <x v="3"/>
    <n v="3481.8679999999999"/>
  </r>
  <r>
    <n v="61"/>
    <s v="female"/>
    <n v="21.09"/>
    <n v="0"/>
    <s v="no"/>
    <x v="2"/>
    <n v="13415.0381"/>
  </r>
  <r>
    <n v="57"/>
    <s v="female"/>
    <n v="22.23"/>
    <n v="0"/>
    <s v="no"/>
    <x v="3"/>
    <n v="12029.286700000001"/>
  </r>
  <r>
    <n v="42"/>
    <s v="female"/>
    <n v="33.155000000000001"/>
    <n v="1"/>
    <s v="no"/>
    <x v="3"/>
    <n v="7639.4174499999999"/>
  </r>
  <r>
    <n v="26"/>
    <s v="male"/>
    <n v="32.9"/>
    <n v="2"/>
    <s v="yes"/>
    <x v="0"/>
    <n v="36085.218999999997"/>
  </r>
  <r>
    <n v="20"/>
    <s v="male"/>
    <n v="33.33"/>
    <n v="0"/>
    <s v="no"/>
    <x v="1"/>
    <n v="1391.5287000000001"/>
  </r>
  <r>
    <n v="23"/>
    <s v="female"/>
    <n v="28.31"/>
    <n v="0"/>
    <s v="yes"/>
    <x v="2"/>
    <n v="18033.9679"/>
  </r>
  <r>
    <n v="39"/>
    <s v="female"/>
    <n v="24.89"/>
    <n v="3"/>
    <s v="yes"/>
    <x v="3"/>
    <n v="21659.930100000001"/>
  </r>
  <r>
    <n v="24"/>
    <s v="male"/>
    <n v="40.15"/>
    <n v="0"/>
    <s v="yes"/>
    <x v="1"/>
    <n v="38126.246500000001"/>
  </r>
  <r>
    <n v="64"/>
    <s v="female"/>
    <n v="30.114999999999998"/>
    <n v="3"/>
    <s v="no"/>
    <x v="2"/>
    <n v="16455.707849999999"/>
  </r>
  <r>
    <n v="62"/>
    <s v="male"/>
    <n v="31.46"/>
    <n v="1"/>
    <s v="no"/>
    <x v="1"/>
    <n v="27000.98473"/>
  </r>
  <r>
    <n v="27"/>
    <s v="female"/>
    <n v="17.954999999999998"/>
    <n v="2"/>
    <s v="yes"/>
    <x v="3"/>
    <n v="15006.579449999999"/>
  </r>
  <r>
    <n v="55"/>
    <s v="male"/>
    <n v="30.684999999999999"/>
    <n v="0"/>
    <s v="yes"/>
    <x v="3"/>
    <n v="42303.692150000003"/>
  </r>
  <r>
    <n v="55"/>
    <s v="male"/>
    <n v="33"/>
    <n v="0"/>
    <s v="no"/>
    <x v="1"/>
    <n v="20781.48892"/>
  </r>
  <r>
    <n v="35"/>
    <s v="female"/>
    <n v="43.34"/>
    <n v="2"/>
    <s v="no"/>
    <x v="1"/>
    <n v="5846.9175999999998"/>
  </r>
  <r>
    <n v="44"/>
    <s v="male"/>
    <n v="22.135000000000002"/>
    <n v="2"/>
    <s v="no"/>
    <x v="3"/>
    <n v="8302.5356499999998"/>
  </r>
  <r>
    <n v="19"/>
    <s v="male"/>
    <n v="34.4"/>
    <n v="0"/>
    <s v="no"/>
    <x v="0"/>
    <n v="1261.8589999999999"/>
  </r>
  <r>
    <n v="58"/>
    <s v="female"/>
    <n v="39.049999999999997"/>
    <n v="0"/>
    <s v="no"/>
    <x v="1"/>
    <n v="11856.4115"/>
  </r>
  <r>
    <n v="50"/>
    <s v="male"/>
    <n v="25.364999999999998"/>
    <n v="2"/>
    <s v="no"/>
    <x v="2"/>
    <n v="30284.642940000002"/>
  </r>
  <r>
    <n v="26"/>
    <s v="female"/>
    <n v="22.61"/>
    <n v="0"/>
    <s v="no"/>
    <x v="2"/>
    <n v="3176.8159000000001"/>
  </r>
  <r>
    <n v="24"/>
    <s v="female"/>
    <n v="30.21"/>
    <n v="3"/>
    <s v="no"/>
    <x v="2"/>
    <n v="4618.0798999999997"/>
  </r>
  <r>
    <n v="48"/>
    <s v="male"/>
    <n v="35.625"/>
    <n v="4"/>
    <s v="no"/>
    <x v="3"/>
    <n v="10736.87075"/>
  </r>
  <r>
    <n v="19"/>
    <s v="female"/>
    <n v="37.43"/>
    <n v="0"/>
    <s v="no"/>
    <x v="2"/>
    <n v="2138.0707000000002"/>
  </r>
  <r>
    <n v="48"/>
    <s v="male"/>
    <n v="31.445"/>
    <n v="1"/>
    <s v="no"/>
    <x v="3"/>
    <n v="8964.0605500000001"/>
  </r>
  <r>
    <n v="49"/>
    <s v="male"/>
    <n v="31.35"/>
    <n v="1"/>
    <s v="no"/>
    <x v="3"/>
    <n v="9290.1394999999993"/>
  </r>
  <r>
    <n v="46"/>
    <s v="female"/>
    <n v="32.299999999999997"/>
    <n v="2"/>
    <s v="no"/>
    <x v="3"/>
    <n v="9411.0049999999992"/>
  </r>
  <r>
    <n v="46"/>
    <s v="male"/>
    <n v="19.855"/>
    <n v="0"/>
    <s v="no"/>
    <x v="2"/>
    <n v="7526.7064499999997"/>
  </r>
  <r>
    <n v="43"/>
    <s v="female"/>
    <n v="34.4"/>
    <n v="3"/>
    <s v="no"/>
    <x v="0"/>
    <n v="8522.0030000000006"/>
  </r>
  <r>
    <n v="21"/>
    <s v="male"/>
    <n v="31.02"/>
    <n v="0"/>
    <s v="no"/>
    <x v="1"/>
    <n v="16586.49771"/>
  </r>
  <r>
    <n v="64"/>
    <s v="male"/>
    <n v="25.6"/>
    <n v="2"/>
    <s v="no"/>
    <x v="0"/>
    <n v="14988.432000000001"/>
  </r>
  <r>
    <n v="18"/>
    <s v="female"/>
    <n v="38.17"/>
    <n v="0"/>
    <s v="no"/>
    <x v="1"/>
    <n v="1631.6683"/>
  </r>
  <r>
    <n v="51"/>
    <s v="female"/>
    <n v="20.6"/>
    <n v="0"/>
    <s v="no"/>
    <x v="0"/>
    <n v="9264.7970000000005"/>
  </r>
  <r>
    <n v="47"/>
    <s v="male"/>
    <n v="47.52"/>
    <n v="1"/>
    <s v="no"/>
    <x v="1"/>
    <n v="8083.9197999999997"/>
  </r>
  <r>
    <n v="64"/>
    <s v="female"/>
    <n v="32.965000000000003"/>
    <n v="0"/>
    <s v="no"/>
    <x v="2"/>
    <n v="14692.66935"/>
  </r>
  <r>
    <n v="49"/>
    <s v="male"/>
    <n v="32.299999999999997"/>
    <n v="3"/>
    <s v="no"/>
    <x v="2"/>
    <n v="10269.459999999999"/>
  </r>
  <r>
    <n v="31"/>
    <s v="male"/>
    <n v="20.399999999999999"/>
    <n v="0"/>
    <s v="no"/>
    <x v="0"/>
    <n v="3260.1990000000001"/>
  </r>
  <r>
    <n v="52"/>
    <s v="female"/>
    <n v="38.380000000000003"/>
    <n v="2"/>
    <s v="no"/>
    <x v="3"/>
    <n v="11396.9002"/>
  </r>
  <r>
    <n v="33"/>
    <s v="female"/>
    <n v="24.31"/>
    <n v="0"/>
    <s v="no"/>
    <x v="1"/>
    <n v="4185.0978999999998"/>
  </r>
  <r>
    <n v="47"/>
    <s v="female"/>
    <n v="23.6"/>
    <n v="1"/>
    <s v="no"/>
    <x v="0"/>
    <n v="8539.6710000000003"/>
  </r>
  <r>
    <n v="38"/>
    <s v="male"/>
    <n v="21.12"/>
    <n v="3"/>
    <s v="no"/>
    <x v="1"/>
    <n v="6652.5288"/>
  </r>
  <r>
    <n v="32"/>
    <s v="male"/>
    <n v="30.03"/>
    <n v="1"/>
    <s v="no"/>
    <x v="1"/>
    <n v="4074.4537"/>
  </r>
  <r>
    <n v="19"/>
    <s v="male"/>
    <n v="17.48"/>
    <n v="0"/>
    <s v="no"/>
    <x v="2"/>
    <n v="1621.3402000000001"/>
  </r>
  <r>
    <n v="44"/>
    <s v="female"/>
    <n v="20.234999999999999"/>
    <n v="1"/>
    <s v="yes"/>
    <x v="3"/>
    <n v="19594.809649999999"/>
  </r>
  <r>
    <n v="26"/>
    <s v="female"/>
    <n v="17.195"/>
    <n v="2"/>
    <s v="yes"/>
    <x v="3"/>
    <n v="14455.644050000001"/>
  </r>
  <r>
    <n v="25"/>
    <s v="male"/>
    <n v="23.9"/>
    <n v="5"/>
    <s v="no"/>
    <x v="0"/>
    <n v="5080.0959999999995"/>
  </r>
  <r>
    <n v="19"/>
    <s v="female"/>
    <n v="35.15"/>
    <n v="0"/>
    <s v="no"/>
    <x v="2"/>
    <n v="2134.9014999999999"/>
  </r>
  <r>
    <n v="43"/>
    <s v="female"/>
    <n v="35.64"/>
    <n v="1"/>
    <s v="no"/>
    <x v="1"/>
    <n v="7345.7266"/>
  </r>
  <r>
    <n v="52"/>
    <s v="male"/>
    <n v="34.1"/>
    <n v="0"/>
    <s v="no"/>
    <x v="1"/>
    <n v="9140.9509999999991"/>
  </r>
  <r>
    <n v="36"/>
    <s v="female"/>
    <n v="22.6"/>
    <n v="2"/>
    <s v="yes"/>
    <x v="0"/>
    <n v="18608.261999999999"/>
  </r>
  <r>
    <n v="64"/>
    <s v="male"/>
    <n v="39.159999999999997"/>
    <n v="1"/>
    <s v="no"/>
    <x v="1"/>
    <n v="14418.2804"/>
  </r>
  <r>
    <n v="63"/>
    <s v="female"/>
    <n v="26.98"/>
    <n v="0"/>
    <s v="yes"/>
    <x v="2"/>
    <n v="28950.4692"/>
  </r>
  <r>
    <n v="64"/>
    <s v="male"/>
    <n v="33.880000000000003"/>
    <n v="0"/>
    <s v="yes"/>
    <x v="1"/>
    <n v="46889.261200000001"/>
  </r>
  <r>
    <n v="61"/>
    <s v="male"/>
    <n v="35.86"/>
    <n v="0"/>
    <s v="yes"/>
    <x v="1"/>
    <n v="46599.108399999997"/>
  </r>
  <r>
    <n v="40"/>
    <s v="male"/>
    <n v="32.774999999999999"/>
    <n v="1"/>
    <s v="yes"/>
    <x v="3"/>
    <n v="39125.332249999999"/>
  </r>
  <r>
    <n v="25"/>
    <s v="male"/>
    <n v="30.59"/>
    <n v="0"/>
    <s v="no"/>
    <x v="3"/>
    <n v="2727.3951000000002"/>
  </r>
  <r>
    <n v="48"/>
    <s v="male"/>
    <n v="30.2"/>
    <n v="2"/>
    <s v="no"/>
    <x v="0"/>
    <n v="8968.33"/>
  </r>
  <r>
    <n v="45"/>
    <s v="male"/>
    <n v="24.31"/>
    <n v="5"/>
    <s v="no"/>
    <x v="1"/>
    <n v="9788.8659000000007"/>
  </r>
  <r>
    <n v="38"/>
    <s v="female"/>
    <n v="27.265000000000001"/>
    <n v="1"/>
    <s v="no"/>
    <x v="3"/>
    <n v="6555.07035"/>
  </r>
  <r>
    <n v="18"/>
    <s v="female"/>
    <n v="29.164999999999999"/>
    <n v="0"/>
    <s v="no"/>
    <x v="3"/>
    <n v="7323.7348190000002"/>
  </r>
  <r>
    <n v="21"/>
    <s v="female"/>
    <n v="16.815000000000001"/>
    <n v="1"/>
    <s v="no"/>
    <x v="3"/>
    <n v="3167.4558499999998"/>
  </r>
  <r>
    <n v="27"/>
    <s v="female"/>
    <n v="30.4"/>
    <n v="3"/>
    <s v="no"/>
    <x v="2"/>
    <n v="18804.752400000001"/>
  </r>
  <r>
    <n v="19"/>
    <s v="male"/>
    <n v="33.1"/>
    <n v="0"/>
    <s v="no"/>
    <x v="0"/>
    <n v="23082.955330000001"/>
  </r>
  <r>
    <n v="29"/>
    <s v="female"/>
    <n v="20.234999999999999"/>
    <n v="2"/>
    <s v="no"/>
    <x v="2"/>
    <n v="4906.4096499999996"/>
  </r>
  <r>
    <n v="42"/>
    <s v="male"/>
    <n v="26.9"/>
    <n v="0"/>
    <s v="no"/>
    <x v="0"/>
    <n v="5969.723"/>
  </r>
  <r>
    <n v="60"/>
    <s v="female"/>
    <n v="30.5"/>
    <n v="0"/>
    <s v="no"/>
    <x v="0"/>
    <n v="12638.195"/>
  </r>
  <r>
    <n v="31"/>
    <s v="male"/>
    <n v="28.594999999999999"/>
    <n v="1"/>
    <s v="no"/>
    <x v="2"/>
    <n v="4243.5900499999998"/>
  </r>
  <r>
    <n v="60"/>
    <s v="male"/>
    <n v="33.11"/>
    <n v="3"/>
    <s v="no"/>
    <x v="1"/>
    <n v="13919.822899999999"/>
  </r>
  <r>
    <n v="22"/>
    <s v="male"/>
    <n v="31.73"/>
    <n v="0"/>
    <s v="no"/>
    <x v="3"/>
    <n v="2254.7966999999999"/>
  </r>
  <r>
    <n v="35"/>
    <s v="male"/>
    <n v="28.9"/>
    <n v="3"/>
    <s v="no"/>
    <x v="0"/>
    <n v="5926.8459999999995"/>
  </r>
  <r>
    <n v="52"/>
    <s v="female"/>
    <n v="46.75"/>
    <n v="5"/>
    <s v="no"/>
    <x v="1"/>
    <n v="12592.5345"/>
  </r>
  <r>
    <n v="26"/>
    <s v="male"/>
    <n v="29.45"/>
    <n v="0"/>
    <s v="no"/>
    <x v="3"/>
    <n v="2897.3235"/>
  </r>
  <r>
    <n v="31"/>
    <s v="female"/>
    <n v="32.68"/>
    <n v="1"/>
    <s v="no"/>
    <x v="2"/>
    <n v="4738.2682000000004"/>
  </r>
  <r>
    <n v="33"/>
    <s v="female"/>
    <n v="33.5"/>
    <n v="0"/>
    <s v="yes"/>
    <x v="0"/>
    <n v="37079.372000000003"/>
  </r>
  <r>
    <n v="18"/>
    <s v="male"/>
    <n v="43.01"/>
    <n v="0"/>
    <s v="no"/>
    <x v="1"/>
    <n v="1149.3959"/>
  </r>
  <r>
    <n v="59"/>
    <s v="female"/>
    <n v="36.520000000000003"/>
    <n v="1"/>
    <s v="no"/>
    <x v="1"/>
    <n v="28287.897659999999"/>
  </r>
  <r>
    <n v="56"/>
    <s v="male"/>
    <n v="26.695"/>
    <n v="1"/>
    <s v="yes"/>
    <x v="2"/>
    <n v="26109.32905"/>
  </r>
  <r>
    <n v="45"/>
    <s v="female"/>
    <n v="33.1"/>
    <n v="0"/>
    <s v="no"/>
    <x v="0"/>
    <n v="7345.0839999999998"/>
  </r>
  <r>
    <n v="60"/>
    <s v="male"/>
    <n v="29.64"/>
    <n v="0"/>
    <s v="no"/>
    <x v="3"/>
    <n v="12730.999599999999"/>
  </r>
  <r>
    <n v="56"/>
    <s v="female"/>
    <n v="25.65"/>
    <n v="0"/>
    <s v="no"/>
    <x v="2"/>
    <n v="11454.021500000001"/>
  </r>
  <r>
    <n v="40"/>
    <s v="female"/>
    <n v="29.6"/>
    <n v="0"/>
    <s v="no"/>
    <x v="0"/>
    <n v="5910.9440000000004"/>
  </r>
  <r>
    <n v="35"/>
    <s v="male"/>
    <n v="38.6"/>
    <n v="1"/>
    <s v="no"/>
    <x v="0"/>
    <n v="4762.3289999999997"/>
  </r>
  <r>
    <n v="39"/>
    <s v="male"/>
    <n v="29.6"/>
    <n v="4"/>
    <s v="no"/>
    <x v="0"/>
    <n v="7512.2669999999998"/>
  </r>
  <r>
    <n v="30"/>
    <s v="male"/>
    <n v="24.13"/>
    <n v="1"/>
    <s v="no"/>
    <x v="2"/>
    <n v="4032.2406999999998"/>
  </r>
  <r>
    <n v="24"/>
    <s v="male"/>
    <n v="23.4"/>
    <n v="0"/>
    <s v="no"/>
    <x v="0"/>
    <n v="1969.614"/>
  </r>
  <r>
    <n v="20"/>
    <s v="male"/>
    <n v="29.734999999999999"/>
    <n v="0"/>
    <s v="no"/>
    <x v="2"/>
    <n v="1769.5316499999999"/>
  </r>
  <r>
    <n v="32"/>
    <s v="male"/>
    <n v="46.53"/>
    <n v="2"/>
    <s v="no"/>
    <x v="1"/>
    <n v="4686.3887000000004"/>
  </r>
  <r>
    <n v="59"/>
    <s v="male"/>
    <n v="37.4"/>
    <n v="0"/>
    <s v="no"/>
    <x v="0"/>
    <n v="21797.000400000001"/>
  </r>
  <r>
    <n v="55"/>
    <s v="female"/>
    <n v="30.14"/>
    <n v="2"/>
    <s v="no"/>
    <x v="1"/>
    <n v="11881.9696"/>
  </r>
  <r>
    <n v="57"/>
    <s v="female"/>
    <n v="30.495000000000001"/>
    <n v="0"/>
    <s v="no"/>
    <x v="2"/>
    <n v="11840.77505"/>
  </r>
  <r>
    <n v="56"/>
    <s v="male"/>
    <n v="39.6"/>
    <n v="0"/>
    <s v="no"/>
    <x v="0"/>
    <n v="10601.412"/>
  </r>
  <r>
    <n v="40"/>
    <s v="female"/>
    <n v="33"/>
    <n v="3"/>
    <s v="no"/>
    <x v="1"/>
    <n v="7682.67"/>
  </r>
  <r>
    <n v="49"/>
    <s v="female"/>
    <n v="36.630000000000003"/>
    <n v="3"/>
    <s v="no"/>
    <x v="1"/>
    <n v="10381.4787"/>
  </r>
  <r>
    <n v="42"/>
    <s v="male"/>
    <n v="30"/>
    <n v="0"/>
    <s v="yes"/>
    <x v="0"/>
    <n v="22144.031999999999"/>
  </r>
  <r>
    <n v="62"/>
    <s v="female"/>
    <n v="38.094999999999999"/>
    <n v="2"/>
    <s v="no"/>
    <x v="3"/>
    <n v="15230.324049999999"/>
  </r>
  <r>
    <n v="56"/>
    <s v="male"/>
    <n v="25.934999999999999"/>
    <n v="0"/>
    <s v="no"/>
    <x v="3"/>
    <n v="11165.417649999999"/>
  </r>
  <r>
    <n v="19"/>
    <s v="male"/>
    <n v="25.175000000000001"/>
    <n v="0"/>
    <s v="no"/>
    <x v="2"/>
    <n v="1632.0362500000001"/>
  </r>
  <r>
    <n v="30"/>
    <s v="female"/>
    <n v="28.38"/>
    <n v="1"/>
    <s v="yes"/>
    <x v="1"/>
    <n v="19521.968199999999"/>
  </r>
  <r>
    <n v="60"/>
    <s v="female"/>
    <n v="28.7"/>
    <n v="1"/>
    <s v="no"/>
    <x v="0"/>
    <n v="13224.692999999999"/>
  </r>
  <r>
    <n v="56"/>
    <s v="female"/>
    <n v="33.82"/>
    <n v="2"/>
    <s v="no"/>
    <x v="2"/>
    <n v="12643.3778"/>
  </r>
  <r>
    <n v="28"/>
    <s v="female"/>
    <n v="24.32"/>
    <n v="1"/>
    <s v="no"/>
    <x v="3"/>
    <n v="23288.928400000001"/>
  </r>
  <r>
    <n v="18"/>
    <s v="female"/>
    <n v="24.09"/>
    <n v="1"/>
    <s v="no"/>
    <x v="1"/>
    <n v="2201.0971"/>
  </r>
  <r>
    <n v="27"/>
    <s v="male"/>
    <n v="32.67"/>
    <n v="0"/>
    <s v="no"/>
    <x v="1"/>
    <n v="2497.0383000000002"/>
  </r>
  <r>
    <n v="18"/>
    <s v="female"/>
    <n v="30.114999999999998"/>
    <n v="0"/>
    <s v="no"/>
    <x v="3"/>
    <n v="2203.4718499999999"/>
  </r>
  <r>
    <n v="19"/>
    <s v="female"/>
    <n v="29.8"/>
    <n v="0"/>
    <s v="no"/>
    <x v="0"/>
    <n v="1744.4649999999999"/>
  </r>
  <r>
    <n v="47"/>
    <s v="female"/>
    <n v="33.344999999999999"/>
    <n v="0"/>
    <s v="no"/>
    <x v="3"/>
    <n v="20878.78443"/>
  </r>
  <r>
    <n v="54"/>
    <s v="male"/>
    <n v="25.1"/>
    <n v="3"/>
    <s v="yes"/>
    <x v="0"/>
    <n v="25382.296999999999"/>
  </r>
  <r>
    <n v="61"/>
    <s v="male"/>
    <n v="28.31"/>
    <n v="1"/>
    <s v="yes"/>
    <x v="2"/>
    <n v="28868.6639"/>
  </r>
  <r>
    <n v="24"/>
    <s v="male"/>
    <n v="28.5"/>
    <n v="0"/>
    <s v="yes"/>
    <x v="3"/>
    <n v="35147.528480000001"/>
  </r>
  <r>
    <n v="25"/>
    <s v="male"/>
    <n v="35.625"/>
    <n v="0"/>
    <s v="no"/>
    <x v="2"/>
    <n v="2534.3937500000002"/>
  </r>
  <r>
    <n v="21"/>
    <s v="male"/>
    <n v="36.85"/>
    <n v="0"/>
    <s v="no"/>
    <x v="1"/>
    <n v="1534.3045"/>
  </r>
  <r>
    <n v="23"/>
    <s v="male"/>
    <n v="32.56"/>
    <n v="0"/>
    <s v="no"/>
    <x v="1"/>
    <n v="1824.2854"/>
  </r>
  <r>
    <n v="63"/>
    <s v="male"/>
    <n v="41.325000000000003"/>
    <n v="3"/>
    <s v="no"/>
    <x v="2"/>
    <n v="15555.188749999999"/>
  </r>
  <r>
    <n v="49"/>
    <s v="male"/>
    <n v="37.51"/>
    <n v="2"/>
    <s v="no"/>
    <x v="1"/>
    <n v="9304.7019"/>
  </r>
  <r>
    <n v="18"/>
    <s v="female"/>
    <n v="31.35"/>
    <n v="0"/>
    <s v="no"/>
    <x v="1"/>
    <n v="1622.1885"/>
  </r>
  <r>
    <n v="51"/>
    <s v="female"/>
    <n v="39.5"/>
    <n v="1"/>
    <s v="no"/>
    <x v="0"/>
    <n v="9880.0679999999993"/>
  </r>
  <r>
    <n v="48"/>
    <s v="male"/>
    <n v="34.299999999999997"/>
    <n v="3"/>
    <s v="no"/>
    <x v="0"/>
    <n v="9563.0290000000005"/>
  </r>
  <r>
    <n v="31"/>
    <s v="female"/>
    <n v="31.065000000000001"/>
    <n v="0"/>
    <s v="no"/>
    <x v="3"/>
    <n v="4347.0233500000004"/>
  </r>
  <r>
    <n v="54"/>
    <s v="female"/>
    <n v="21.47"/>
    <n v="3"/>
    <s v="no"/>
    <x v="2"/>
    <n v="12475.3513"/>
  </r>
  <r>
    <n v="19"/>
    <s v="male"/>
    <n v="28.7"/>
    <n v="0"/>
    <s v="no"/>
    <x v="0"/>
    <n v="1253.9359999999999"/>
  </r>
  <r>
    <n v="44"/>
    <s v="female"/>
    <n v="38.06"/>
    <n v="0"/>
    <s v="yes"/>
    <x v="1"/>
    <n v="48885.135609999998"/>
  </r>
  <r>
    <n v="53"/>
    <s v="male"/>
    <n v="31.16"/>
    <n v="1"/>
    <s v="no"/>
    <x v="2"/>
    <n v="10461.9794"/>
  </r>
  <r>
    <n v="19"/>
    <s v="female"/>
    <n v="32.9"/>
    <n v="0"/>
    <s v="no"/>
    <x v="0"/>
    <n v="1748.7739999999999"/>
  </r>
  <r>
    <n v="61"/>
    <s v="female"/>
    <n v="25.08"/>
    <n v="0"/>
    <s v="no"/>
    <x v="1"/>
    <n v="24513.091260000001"/>
  </r>
  <r>
    <n v="18"/>
    <s v="female"/>
    <n v="25.08"/>
    <n v="0"/>
    <s v="no"/>
    <x v="3"/>
    <n v="2196.4731999999999"/>
  </r>
  <r>
    <n v="61"/>
    <s v="male"/>
    <n v="43.4"/>
    <n v="0"/>
    <s v="no"/>
    <x v="0"/>
    <n v="12574.049000000001"/>
  </r>
  <r>
    <n v="21"/>
    <s v="male"/>
    <n v="25.7"/>
    <n v="4"/>
    <s v="yes"/>
    <x v="0"/>
    <n v="17942.106"/>
  </r>
  <r>
    <n v="20"/>
    <s v="male"/>
    <n v="27.93"/>
    <n v="0"/>
    <s v="no"/>
    <x v="3"/>
    <n v="1967.0227"/>
  </r>
  <r>
    <n v="31"/>
    <s v="female"/>
    <n v="23.6"/>
    <n v="2"/>
    <s v="no"/>
    <x v="0"/>
    <n v="4931.6469999999999"/>
  </r>
  <r>
    <n v="45"/>
    <s v="male"/>
    <n v="28.7"/>
    <n v="2"/>
    <s v="no"/>
    <x v="0"/>
    <n v="8027.9679999999998"/>
  </r>
  <r>
    <n v="44"/>
    <s v="female"/>
    <n v="23.98"/>
    <n v="2"/>
    <s v="no"/>
    <x v="1"/>
    <n v="8211.1002000000008"/>
  </r>
  <r>
    <n v="62"/>
    <s v="female"/>
    <n v="39.200000000000003"/>
    <n v="0"/>
    <s v="no"/>
    <x v="0"/>
    <n v="13470.86"/>
  </r>
  <r>
    <n v="29"/>
    <s v="male"/>
    <n v="34.4"/>
    <n v="0"/>
    <s v="yes"/>
    <x v="0"/>
    <n v="36197.699000000001"/>
  </r>
  <r>
    <n v="43"/>
    <s v="male"/>
    <n v="26.03"/>
    <n v="0"/>
    <s v="no"/>
    <x v="3"/>
    <n v="6837.3687"/>
  </r>
  <r>
    <n v="51"/>
    <s v="male"/>
    <n v="23.21"/>
    <n v="1"/>
    <s v="yes"/>
    <x v="1"/>
    <n v="22218.1149"/>
  </r>
  <r>
    <n v="19"/>
    <s v="male"/>
    <n v="30.25"/>
    <n v="0"/>
    <s v="yes"/>
    <x v="1"/>
    <n v="32548.340499999998"/>
  </r>
  <r>
    <n v="38"/>
    <s v="female"/>
    <n v="28.93"/>
    <n v="1"/>
    <s v="no"/>
    <x v="1"/>
    <n v="5974.3846999999996"/>
  </r>
  <r>
    <n v="37"/>
    <s v="male"/>
    <n v="30.875"/>
    <n v="3"/>
    <s v="no"/>
    <x v="2"/>
    <n v="6796.8632500000003"/>
  </r>
  <r>
    <n v="22"/>
    <s v="male"/>
    <n v="31.35"/>
    <n v="1"/>
    <s v="no"/>
    <x v="2"/>
    <n v="2643.2685000000001"/>
  </r>
  <r>
    <n v="21"/>
    <s v="male"/>
    <n v="23.75"/>
    <n v="2"/>
    <s v="no"/>
    <x v="2"/>
    <n v="3077.0954999999999"/>
  </r>
  <r>
    <n v="24"/>
    <s v="female"/>
    <n v="25.27"/>
    <n v="0"/>
    <s v="no"/>
    <x v="3"/>
    <n v="3044.2132999999999"/>
  </r>
  <r>
    <n v="57"/>
    <s v="female"/>
    <n v="28.7"/>
    <n v="0"/>
    <s v="no"/>
    <x v="0"/>
    <n v="11455.28"/>
  </r>
  <r>
    <n v="56"/>
    <s v="male"/>
    <n v="32.11"/>
    <n v="1"/>
    <s v="no"/>
    <x v="3"/>
    <n v="11763.000899999999"/>
  </r>
  <r>
    <n v="27"/>
    <s v="male"/>
    <n v="33.659999999999997"/>
    <n v="0"/>
    <s v="no"/>
    <x v="1"/>
    <n v="2498.4144000000001"/>
  </r>
  <r>
    <n v="51"/>
    <s v="male"/>
    <n v="22.42"/>
    <n v="0"/>
    <s v="no"/>
    <x v="3"/>
    <n v="9361.3268000000007"/>
  </r>
  <r>
    <n v="19"/>
    <s v="male"/>
    <n v="30.4"/>
    <n v="0"/>
    <s v="no"/>
    <x v="0"/>
    <n v="1256.299"/>
  </r>
  <r>
    <n v="39"/>
    <s v="male"/>
    <n v="28.3"/>
    <n v="1"/>
    <s v="yes"/>
    <x v="0"/>
    <n v="21082.16"/>
  </r>
  <r>
    <n v="58"/>
    <s v="male"/>
    <n v="35.700000000000003"/>
    <n v="0"/>
    <s v="no"/>
    <x v="0"/>
    <n v="11362.754999999999"/>
  </r>
  <r>
    <n v="20"/>
    <s v="male"/>
    <n v="35.31"/>
    <n v="1"/>
    <s v="no"/>
    <x v="1"/>
    <n v="27724.28875"/>
  </r>
  <r>
    <n v="45"/>
    <s v="male"/>
    <n v="30.495000000000001"/>
    <n v="2"/>
    <s v="no"/>
    <x v="2"/>
    <n v="8413.4630500000003"/>
  </r>
  <r>
    <n v="35"/>
    <s v="female"/>
    <n v="31"/>
    <n v="1"/>
    <s v="no"/>
    <x v="0"/>
    <n v="5240.7650000000003"/>
  </r>
  <r>
    <n v="31"/>
    <s v="male"/>
    <n v="30.875"/>
    <n v="0"/>
    <s v="no"/>
    <x v="3"/>
    <n v="3857.7592500000001"/>
  </r>
  <r>
    <n v="50"/>
    <s v="female"/>
    <n v="27.36"/>
    <n v="0"/>
    <s v="no"/>
    <x v="3"/>
    <n v="25656.575260000001"/>
  </r>
  <r>
    <n v="32"/>
    <s v="female"/>
    <n v="44.22"/>
    <n v="0"/>
    <s v="no"/>
    <x v="1"/>
    <n v="3994.1777999999999"/>
  </r>
  <r>
    <n v="51"/>
    <s v="female"/>
    <n v="33.914999999999999"/>
    <n v="0"/>
    <s v="no"/>
    <x v="3"/>
    <n v="9866.3048500000004"/>
  </r>
  <r>
    <n v="38"/>
    <s v="female"/>
    <n v="37.729999999999997"/>
    <n v="0"/>
    <s v="no"/>
    <x v="1"/>
    <n v="5397.6166999999996"/>
  </r>
  <r>
    <n v="42"/>
    <s v="male"/>
    <n v="26.07"/>
    <n v="1"/>
    <s v="yes"/>
    <x v="1"/>
    <n v="38245.593269999998"/>
  </r>
  <r>
    <n v="18"/>
    <s v="female"/>
    <n v="33.880000000000003"/>
    <n v="0"/>
    <s v="no"/>
    <x v="1"/>
    <n v="11482.63485"/>
  </r>
  <r>
    <n v="19"/>
    <s v="female"/>
    <n v="30.59"/>
    <n v="2"/>
    <s v="no"/>
    <x v="2"/>
    <n v="24059.680189999999"/>
  </r>
  <r>
    <n v="51"/>
    <s v="female"/>
    <n v="25.8"/>
    <n v="1"/>
    <s v="no"/>
    <x v="0"/>
    <n v="9861.0249999999996"/>
  </r>
  <r>
    <n v="46"/>
    <s v="male"/>
    <n v="39.424999999999997"/>
    <n v="1"/>
    <s v="no"/>
    <x v="3"/>
    <n v="8342.9087500000005"/>
  </r>
  <r>
    <n v="18"/>
    <s v="male"/>
    <n v="25.46"/>
    <n v="0"/>
    <s v="no"/>
    <x v="3"/>
    <n v="1708.0014000000001"/>
  </r>
  <r>
    <n v="57"/>
    <s v="male"/>
    <n v="42.13"/>
    <n v="1"/>
    <s v="yes"/>
    <x v="1"/>
    <n v="48675.517699999997"/>
  </r>
  <r>
    <n v="62"/>
    <s v="female"/>
    <n v="31.73"/>
    <n v="0"/>
    <s v="no"/>
    <x v="3"/>
    <n v="14043.476699999999"/>
  </r>
  <r>
    <n v="59"/>
    <s v="male"/>
    <n v="29.7"/>
    <n v="2"/>
    <s v="no"/>
    <x v="1"/>
    <n v="12925.886"/>
  </r>
  <r>
    <n v="37"/>
    <s v="male"/>
    <n v="36.19"/>
    <n v="0"/>
    <s v="no"/>
    <x v="1"/>
    <n v="19214.705529999999"/>
  </r>
  <r>
    <n v="64"/>
    <s v="male"/>
    <n v="40.479999999999997"/>
    <n v="0"/>
    <s v="no"/>
    <x v="1"/>
    <n v="13831.1152"/>
  </r>
  <r>
    <n v="38"/>
    <s v="male"/>
    <n v="28.024999999999999"/>
    <n v="1"/>
    <s v="no"/>
    <x v="3"/>
    <n v="6067.1267500000004"/>
  </r>
  <r>
    <n v="33"/>
    <s v="female"/>
    <n v="38.9"/>
    <n v="3"/>
    <s v="no"/>
    <x v="0"/>
    <n v="5972.3779999999997"/>
  </r>
  <r>
    <n v="46"/>
    <s v="female"/>
    <n v="30.2"/>
    <n v="2"/>
    <s v="no"/>
    <x v="0"/>
    <n v="8825.0859999999993"/>
  </r>
  <r>
    <n v="46"/>
    <s v="female"/>
    <n v="28.05"/>
    <n v="1"/>
    <s v="no"/>
    <x v="1"/>
    <n v="8233.0974999999999"/>
  </r>
  <r>
    <n v="53"/>
    <s v="male"/>
    <n v="31.35"/>
    <n v="0"/>
    <s v="no"/>
    <x v="1"/>
    <n v="27346.04207"/>
  </r>
  <r>
    <n v="34"/>
    <s v="female"/>
    <n v="38"/>
    <n v="3"/>
    <s v="no"/>
    <x v="0"/>
    <n v="6196.4480000000003"/>
  </r>
  <r>
    <n v="20"/>
    <s v="female"/>
    <n v="31.79"/>
    <n v="2"/>
    <s v="no"/>
    <x v="1"/>
    <n v="3056.3881000000001"/>
  </r>
  <r>
    <n v="63"/>
    <s v="female"/>
    <n v="36.299999999999997"/>
    <n v="0"/>
    <s v="no"/>
    <x v="1"/>
    <n v="13887.204"/>
  </r>
  <r>
    <n v="54"/>
    <s v="female"/>
    <n v="47.41"/>
    <n v="0"/>
    <s v="yes"/>
    <x v="1"/>
    <n v="63770.428010000003"/>
  </r>
  <r>
    <n v="54"/>
    <s v="male"/>
    <n v="30.21"/>
    <n v="0"/>
    <s v="no"/>
    <x v="2"/>
    <n v="10231.499900000001"/>
  </r>
  <r>
    <n v="49"/>
    <s v="male"/>
    <n v="25.84"/>
    <n v="2"/>
    <s v="yes"/>
    <x v="2"/>
    <n v="23807.240600000001"/>
  </r>
  <r>
    <n v="28"/>
    <s v="male"/>
    <n v="35.435000000000002"/>
    <n v="0"/>
    <s v="no"/>
    <x v="3"/>
    <n v="3268.84665"/>
  </r>
  <r>
    <n v="54"/>
    <s v="female"/>
    <n v="46.7"/>
    <n v="2"/>
    <s v="no"/>
    <x v="0"/>
    <n v="11538.421"/>
  </r>
  <r>
    <n v="25"/>
    <s v="female"/>
    <n v="28.594999999999999"/>
    <n v="0"/>
    <s v="no"/>
    <x v="3"/>
    <n v="3213.6220499999999"/>
  </r>
  <r>
    <n v="43"/>
    <s v="female"/>
    <n v="46.2"/>
    <n v="0"/>
    <s v="yes"/>
    <x v="1"/>
    <n v="45863.205000000002"/>
  </r>
  <r>
    <n v="63"/>
    <s v="male"/>
    <n v="30.8"/>
    <n v="0"/>
    <s v="no"/>
    <x v="0"/>
    <n v="13390.558999999999"/>
  </r>
  <r>
    <n v="32"/>
    <s v="female"/>
    <n v="28.93"/>
    <n v="0"/>
    <s v="no"/>
    <x v="1"/>
    <n v="3972.9247"/>
  </r>
  <r>
    <n v="62"/>
    <s v="male"/>
    <n v="21.4"/>
    <n v="0"/>
    <s v="no"/>
    <x v="0"/>
    <n v="12957.118"/>
  </r>
  <r>
    <n v="52"/>
    <s v="female"/>
    <n v="31.73"/>
    <n v="2"/>
    <s v="no"/>
    <x v="2"/>
    <n v="11187.6567"/>
  </r>
  <r>
    <n v="25"/>
    <s v="female"/>
    <n v="41.325000000000003"/>
    <n v="0"/>
    <s v="no"/>
    <x v="3"/>
    <n v="17878.900679999999"/>
  </r>
  <r>
    <n v="28"/>
    <s v="male"/>
    <n v="23.8"/>
    <n v="2"/>
    <s v="no"/>
    <x v="0"/>
    <n v="3847.674"/>
  </r>
  <r>
    <n v="46"/>
    <s v="male"/>
    <n v="33.44"/>
    <n v="1"/>
    <s v="no"/>
    <x v="3"/>
    <n v="8334.5895999999993"/>
  </r>
  <r>
    <n v="34"/>
    <s v="male"/>
    <n v="34.21"/>
    <n v="0"/>
    <s v="no"/>
    <x v="1"/>
    <n v="3935.1799000000001"/>
  </r>
  <r>
    <n v="35"/>
    <s v="female"/>
    <n v="34.104999999999997"/>
    <n v="3"/>
    <s v="yes"/>
    <x v="2"/>
    <n v="39983.425949999997"/>
  </r>
  <r>
    <n v="19"/>
    <s v="male"/>
    <n v="35.53"/>
    <n v="0"/>
    <s v="no"/>
    <x v="2"/>
    <n v="1646.4296999999999"/>
  </r>
  <r>
    <n v="46"/>
    <s v="female"/>
    <n v="19.95"/>
    <n v="2"/>
    <s v="no"/>
    <x v="2"/>
    <n v="9193.8384999999998"/>
  </r>
  <r>
    <n v="54"/>
    <s v="female"/>
    <n v="32.68"/>
    <n v="0"/>
    <s v="no"/>
    <x v="3"/>
    <n v="10923.933199999999"/>
  </r>
  <r>
    <n v="27"/>
    <s v="male"/>
    <n v="30.5"/>
    <n v="0"/>
    <s v="no"/>
    <x v="0"/>
    <n v="2494.0219999999999"/>
  </r>
  <r>
    <n v="50"/>
    <s v="male"/>
    <n v="44.77"/>
    <n v="1"/>
    <s v="no"/>
    <x v="1"/>
    <n v="9058.7302999999993"/>
  </r>
  <r>
    <n v="18"/>
    <s v="female"/>
    <n v="32.119999999999997"/>
    <n v="2"/>
    <s v="no"/>
    <x v="1"/>
    <n v="2801.2588000000001"/>
  </r>
  <r>
    <n v="19"/>
    <s v="female"/>
    <n v="30.495000000000001"/>
    <n v="0"/>
    <s v="no"/>
    <x v="2"/>
    <n v="2128.4310500000001"/>
  </r>
  <r>
    <n v="38"/>
    <s v="female"/>
    <n v="40.564999999999998"/>
    <n v="1"/>
    <s v="no"/>
    <x v="2"/>
    <n v="6373.55735"/>
  </r>
  <r>
    <n v="41"/>
    <s v="male"/>
    <n v="30.59"/>
    <n v="2"/>
    <s v="no"/>
    <x v="2"/>
    <n v="7256.7231000000002"/>
  </r>
  <r>
    <n v="49"/>
    <s v="female"/>
    <n v="31.9"/>
    <n v="5"/>
    <s v="no"/>
    <x v="0"/>
    <n v="11552.904"/>
  </r>
  <r>
    <n v="48"/>
    <s v="male"/>
    <n v="40.564999999999998"/>
    <n v="2"/>
    <s v="yes"/>
    <x v="2"/>
    <n v="45702.022349999999"/>
  </r>
  <r>
    <n v="31"/>
    <s v="female"/>
    <n v="29.1"/>
    <n v="0"/>
    <s v="no"/>
    <x v="0"/>
    <n v="3761.2919999999999"/>
  </r>
  <r>
    <n v="18"/>
    <s v="female"/>
    <n v="37.29"/>
    <n v="1"/>
    <s v="no"/>
    <x v="1"/>
    <n v="2219.4450999999999"/>
  </r>
  <r>
    <n v="30"/>
    <s v="female"/>
    <n v="43.12"/>
    <n v="2"/>
    <s v="no"/>
    <x v="1"/>
    <n v="4753.6368000000002"/>
  </r>
  <r>
    <n v="62"/>
    <s v="female"/>
    <n v="36.86"/>
    <n v="1"/>
    <s v="no"/>
    <x v="3"/>
    <n v="31620.001059999999"/>
  </r>
  <r>
    <n v="57"/>
    <s v="female"/>
    <n v="34.295000000000002"/>
    <n v="2"/>
    <s v="no"/>
    <x v="3"/>
    <n v="13224.057049999999"/>
  </r>
  <r>
    <n v="58"/>
    <s v="female"/>
    <n v="27.17"/>
    <n v="0"/>
    <s v="no"/>
    <x v="2"/>
    <n v="12222.898300000001"/>
  </r>
  <r>
    <n v="22"/>
    <s v="male"/>
    <n v="26.84"/>
    <n v="0"/>
    <s v="no"/>
    <x v="1"/>
    <n v="1664.9996000000001"/>
  </r>
  <r>
    <n v="31"/>
    <s v="female"/>
    <n v="38.094999999999999"/>
    <n v="1"/>
    <s v="yes"/>
    <x v="3"/>
    <n v="58571.074480000003"/>
  </r>
  <r>
    <n v="52"/>
    <s v="male"/>
    <n v="30.2"/>
    <n v="1"/>
    <s v="no"/>
    <x v="0"/>
    <n v="9724.5300000000007"/>
  </r>
  <r>
    <n v="25"/>
    <s v="female"/>
    <n v="23.465"/>
    <n v="0"/>
    <s v="no"/>
    <x v="3"/>
    <n v="3206.4913499999998"/>
  </r>
  <r>
    <n v="59"/>
    <s v="male"/>
    <n v="25.46"/>
    <n v="1"/>
    <s v="no"/>
    <x v="3"/>
    <n v="12913.992399999999"/>
  </r>
  <r>
    <n v="19"/>
    <s v="male"/>
    <n v="30.59"/>
    <n v="0"/>
    <s v="no"/>
    <x v="2"/>
    <n v="1639.5631000000001"/>
  </r>
  <r>
    <n v="39"/>
    <s v="male"/>
    <n v="45.43"/>
    <n v="2"/>
    <s v="no"/>
    <x v="1"/>
    <n v="6356.2707"/>
  </r>
  <r>
    <n v="32"/>
    <s v="female"/>
    <n v="23.65"/>
    <n v="1"/>
    <s v="no"/>
    <x v="1"/>
    <n v="17626.239509999999"/>
  </r>
  <r>
    <n v="19"/>
    <s v="male"/>
    <n v="20.7"/>
    <n v="0"/>
    <s v="no"/>
    <x v="0"/>
    <n v="1242.816"/>
  </r>
  <r>
    <n v="33"/>
    <s v="female"/>
    <n v="28.27"/>
    <n v="1"/>
    <s v="no"/>
    <x v="1"/>
    <n v="4779.6022999999996"/>
  </r>
  <r>
    <n v="21"/>
    <s v="male"/>
    <n v="20.234999999999999"/>
    <n v="3"/>
    <s v="no"/>
    <x v="3"/>
    <n v="3861.2096499999998"/>
  </r>
  <r>
    <n v="34"/>
    <s v="female"/>
    <n v="30.21"/>
    <n v="1"/>
    <s v="yes"/>
    <x v="2"/>
    <n v="43943.876100000001"/>
  </r>
  <r>
    <n v="61"/>
    <s v="female"/>
    <n v="35.909999999999997"/>
    <n v="0"/>
    <s v="no"/>
    <x v="3"/>
    <n v="13635.6379"/>
  </r>
  <r>
    <n v="38"/>
    <s v="female"/>
    <n v="30.69"/>
    <n v="1"/>
    <s v="no"/>
    <x v="1"/>
    <n v="5976.8311000000003"/>
  </r>
  <r>
    <n v="58"/>
    <s v="female"/>
    <n v="29"/>
    <n v="0"/>
    <s v="no"/>
    <x v="0"/>
    <n v="11842.441999999999"/>
  </r>
  <r>
    <n v="47"/>
    <s v="male"/>
    <n v="19.57"/>
    <n v="1"/>
    <s v="no"/>
    <x v="2"/>
    <n v="8428.0692999999992"/>
  </r>
  <r>
    <n v="20"/>
    <s v="male"/>
    <n v="31.13"/>
    <n v="2"/>
    <s v="no"/>
    <x v="1"/>
    <n v="2566.4706999999999"/>
  </r>
  <r>
    <n v="21"/>
    <s v="female"/>
    <n v="21.85"/>
    <n v="1"/>
    <s v="yes"/>
    <x v="3"/>
    <n v="15359.104499999999"/>
  </r>
  <r>
    <n v="41"/>
    <s v="male"/>
    <n v="40.26"/>
    <n v="0"/>
    <s v="no"/>
    <x v="1"/>
    <n v="5709.1643999999997"/>
  </r>
  <r>
    <n v="46"/>
    <s v="female"/>
    <n v="33.725000000000001"/>
    <n v="1"/>
    <s v="no"/>
    <x v="3"/>
    <n v="8823.9857499999998"/>
  </r>
  <r>
    <n v="42"/>
    <s v="female"/>
    <n v="29.48"/>
    <n v="2"/>
    <s v="no"/>
    <x v="1"/>
    <n v="7640.3091999999997"/>
  </r>
  <r>
    <n v="34"/>
    <s v="female"/>
    <n v="33.25"/>
    <n v="1"/>
    <s v="no"/>
    <x v="3"/>
    <n v="5594.8455000000004"/>
  </r>
  <r>
    <n v="43"/>
    <s v="male"/>
    <n v="32.6"/>
    <n v="2"/>
    <s v="no"/>
    <x v="0"/>
    <n v="7441.5010000000002"/>
  </r>
  <r>
    <n v="52"/>
    <s v="female"/>
    <n v="37.524999999999999"/>
    <n v="2"/>
    <s v="no"/>
    <x v="2"/>
    <n v="33471.971890000001"/>
  </r>
  <r>
    <n v="18"/>
    <s v="female"/>
    <n v="39.159999999999997"/>
    <n v="0"/>
    <s v="no"/>
    <x v="1"/>
    <n v="1633.0444"/>
  </r>
  <r>
    <n v="51"/>
    <s v="male"/>
    <n v="31.635000000000002"/>
    <n v="0"/>
    <s v="no"/>
    <x v="2"/>
    <n v="9174.1356500000002"/>
  </r>
  <r>
    <n v="56"/>
    <s v="female"/>
    <n v="25.3"/>
    <n v="0"/>
    <s v="no"/>
    <x v="0"/>
    <n v="11070.535"/>
  </r>
  <r>
    <n v="64"/>
    <s v="female"/>
    <n v="39.049999999999997"/>
    <n v="3"/>
    <s v="no"/>
    <x v="1"/>
    <n v="16085.127500000001"/>
  </r>
  <r>
    <n v="19"/>
    <s v="female"/>
    <n v="28.31"/>
    <n v="0"/>
    <s v="yes"/>
    <x v="2"/>
    <n v="17468.983899999999"/>
  </r>
  <r>
    <n v="51"/>
    <s v="female"/>
    <n v="34.1"/>
    <n v="0"/>
    <s v="no"/>
    <x v="1"/>
    <n v="9283.5619999999999"/>
  </r>
  <r>
    <n v="27"/>
    <s v="female"/>
    <n v="25.175000000000001"/>
    <n v="0"/>
    <s v="no"/>
    <x v="3"/>
    <n v="3558.6202499999999"/>
  </r>
  <r>
    <n v="59"/>
    <s v="female"/>
    <n v="23.655000000000001"/>
    <n v="0"/>
    <s v="yes"/>
    <x v="2"/>
    <n v="25678.778450000002"/>
  </r>
  <r>
    <n v="28"/>
    <s v="male"/>
    <n v="26.98"/>
    <n v="2"/>
    <s v="no"/>
    <x v="3"/>
    <n v="4435.0941999999995"/>
  </r>
  <r>
    <n v="30"/>
    <s v="male"/>
    <n v="37.799999999999997"/>
    <n v="2"/>
    <s v="yes"/>
    <x v="0"/>
    <n v="39241.442000000003"/>
  </r>
  <r>
    <n v="47"/>
    <s v="female"/>
    <n v="29.37"/>
    <n v="1"/>
    <s v="no"/>
    <x v="1"/>
    <n v="8547.6913000000004"/>
  </r>
  <r>
    <n v="38"/>
    <s v="female"/>
    <n v="34.799999999999997"/>
    <n v="2"/>
    <s v="no"/>
    <x v="0"/>
    <n v="6571.5439999999999"/>
  </r>
  <r>
    <n v="18"/>
    <s v="female"/>
    <n v="33.155000000000001"/>
    <n v="0"/>
    <s v="no"/>
    <x v="3"/>
    <n v="2207.6974500000001"/>
  </r>
  <r>
    <n v="34"/>
    <s v="female"/>
    <n v="19"/>
    <n v="3"/>
    <s v="no"/>
    <x v="3"/>
    <n v="6753.0379999999996"/>
  </r>
  <r>
    <n v="20"/>
    <s v="female"/>
    <n v="33"/>
    <n v="0"/>
    <s v="no"/>
    <x v="1"/>
    <n v="1880.07"/>
  </r>
  <r>
    <n v="47"/>
    <s v="female"/>
    <n v="36.630000000000003"/>
    <n v="1"/>
    <s v="yes"/>
    <x v="1"/>
    <n v="42969.852700000003"/>
  </r>
  <r>
    <n v="56"/>
    <s v="female"/>
    <n v="28.594999999999999"/>
    <n v="0"/>
    <s v="no"/>
    <x v="3"/>
    <n v="11658.11505"/>
  </r>
  <r>
    <n v="49"/>
    <s v="male"/>
    <n v="25.6"/>
    <n v="2"/>
    <s v="yes"/>
    <x v="0"/>
    <n v="23306.546999999999"/>
  </r>
  <r>
    <n v="19"/>
    <s v="female"/>
    <n v="33.11"/>
    <n v="0"/>
    <s v="yes"/>
    <x v="1"/>
    <n v="34439.855900000002"/>
  </r>
  <r>
    <n v="55"/>
    <s v="female"/>
    <n v="37.1"/>
    <n v="0"/>
    <s v="no"/>
    <x v="0"/>
    <n v="10713.644"/>
  </r>
  <r>
    <n v="30"/>
    <s v="male"/>
    <n v="31.4"/>
    <n v="1"/>
    <s v="no"/>
    <x v="0"/>
    <n v="3659.346"/>
  </r>
  <r>
    <n v="37"/>
    <s v="male"/>
    <n v="34.1"/>
    <n v="4"/>
    <s v="yes"/>
    <x v="0"/>
    <n v="40182.245999999999"/>
  </r>
  <r>
    <n v="49"/>
    <s v="female"/>
    <n v="21.3"/>
    <n v="1"/>
    <s v="no"/>
    <x v="0"/>
    <n v="9182.17"/>
  </r>
  <r>
    <n v="18"/>
    <s v="male"/>
    <n v="33.534999999999997"/>
    <n v="0"/>
    <s v="yes"/>
    <x v="3"/>
    <n v="34617.840649999998"/>
  </r>
  <r>
    <n v="59"/>
    <s v="male"/>
    <n v="28.785"/>
    <n v="0"/>
    <s v="no"/>
    <x v="2"/>
    <n v="12129.614149999999"/>
  </r>
  <r>
    <n v="29"/>
    <s v="female"/>
    <n v="26.03"/>
    <n v="0"/>
    <s v="no"/>
    <x v="2"/>
    <n v="3736.4647"/>
  </r>
  <r>
    <n v="36"/>
    <s v="male"/>
    <n v="28.88"/>
    <n v="3"/>
    <s v="no"/>
    <x v="3"/>
    <n v="6748.5911999999998"/>
  </r>
  <r>
    <n v="33"/>
    <s v="male"/>
    <n v="42.46"/>
    <n v="1"/>
    <s v="no"/>
    <x v="1"/>
    <n v="11326.71487"/>
  </r>
  <r>
    <n v="58"/>
    <s v="male"/>
    <n v="38"/>
    <n v="0"/>
    <s v="no"/>
    <x v="0"/>
    <n v="11365.951999999999"/>
  </r>
  <r>
    <n v="44"/>
    <s v="female"/>
    <n v="38.950000000000003"/>
    <n v="0"/>
    <s v="yes"/>
    <x v="2"/>
    <n v="42983.458500000001"/>
  </r>
  <r>
    <n v="53"/>
    <s v="male"/>
    <n v="36.1"/>
    <n v="1"/>
    <s v="no"/>
    <x v="0"/>
    <n v="10085.846"/>
  </r>
  <r>
    <n v="24"/>
    <s v="male"/>
    <n v="29.3"/>
    <n v="0"/>
    <s v="no"/>
    <x v="0"/>
    <n v="1977.8150000000001"/>
  </r>
  <r>
    <n v="29"/>
    <s v="female"/>
    <n v="35.53"/>
    <n v="0"/>
    <s v="no"/>
    <x v="1"/>
    <n v="3366.6696999999999"/>
  </r>
  <r>
    <n v="40"/>
    <s v="male"/>
    <n v="22.704999999999998"/>
    <n v="2"/>
    <s v="no"/>
    <x v="3"/>
    <n v="7173.35995"/>
  </r>
  <r>
    <n v="51"/>
    <s v="male"/>
    <n v="39.700000000000003"/>
    <n v="1"/>
    <s v="no"/>
    <x v="0"/>
    <n v="9391.3459999999995"/>
  </r>
  <r>
    <n v="64"/>
    <s v="male"/>
    <n v="38.19"/>
    <n v="0"/>
    <s v="no"/>
    <x v="3"/>
    <n v="14410.9321"/>
  </r>
  <r>
    <n v="19"/>
    <s v="female"/>
    <n v="24.51"/>
    <n v="1"/>
    <s v="no"/>
    <x v="2"/>
    <n v="2709.1118999999999"/>
  </r>
  <r>
    <n v="35"/>
    <s v="female"/>
    <n v="38.094999999999999"/>
    <n v="2"/>
    <s v="no"/>
    <x v="3"/>
    <n v="24915.046259999999"/>
  </r>
  <r>
    <n v="39"/>
    <s v="male"/>
    <n v="26.41"/>
    <n v="0"/>
    <s v="yes"/>
    <x v="3"/>
    <n v="20149.322899999999"/>
  </r>
  <r>
    <n v="56"/>
    <s v="male"/>
    <n v="33.659999999999997"/>
    <n v="4"/>
    <s v="no"/>
    <x v="1"/>
    <n v="12949.1554"/>
  </r>
  <r>
    <n v="33"/>
    <s v="male"/>
    <n v="42.4"/>
    <n v="5"/>
    <s v="no"/>
    <x v="0"/>
    <n v="6666.2430000000004"/>
  </r>
  <r>
    <n v="42"/>
    <s v="male"/>
    <n v="28.31"/>
    <n v="3"/>
    <s v="yes"/>
    <x v="2"/>
    <n v="32787.458590000002"/>
  </r>
  <r>
    <n v="61"/>
    <s v="male"/>
    <n v="33.914999999999999"/>
    <n v="0"/>
    <s v="no"/>
    <x v="3"/>
    <n v="13143.86485"/>
  </r>
  <r>
    <n v="23"/>
    <s v="female"/>
    <n v="34.96"/>
    <n v="3"/>
    <s v="no"/>
    <x v="2"/>
    <n v="4466.6214"/>
  </r>
  <r>
    <n v="43"/>
    <s v="male"/>
    <n v="35.31"/>
    <n v="2"/>
    <s v="no"/>
    <x v="1"/>
    <n v="18806.145469999999"/>
  </r>
  <r>
    <n v="48"/>
    <s v="male"/>
    <n v="30.78"/>
    <n v="3"/>
    <s v="no"/>
    <x v="3"/>
    <n v="10141.136200000001"/>
  </r>
  <r>
    <n v="39"/>
    <s v="male"/>
    <n v="26.22"/>
    <n v="1"/>
    <s v="no"/>
    <x v="2"/>
    <n v="6123.5688"/>
  </r>
  <r>
    <n v="40"/>
    <s v="female"/>
    <n v="23.37"/>
    <n v="3"/>
    <s v="no"/>
    <x v="3"/>
    <n v="8252.2842999999993"/>
  </r>
  <r>
    <n v="18"/>
    <s v="male"/>
    <n v="28.5"/>
    <n v="0"/>
    <s v="no"/>
    <x v="3"/>
    <n v="1712.2270000000001"/>
  </r>
  <r>
    <n v="58"/>
    <s v="female"/>
    <n v="32.965000000000003"/>
    <n v="0"/>
    <s v="no"/>
    <x v="3"/>
    <n v="12430.95335"/>
  </r>
  <r>
    <n v="49"/>
    <s v="female"/>
    <n v="42.68"/>
    <n v="2"/>
    <s v="no"/>
    <x v="1"/>
    <n v="9800.8881999999994"/>
  </r>
  <r>
    <n v="53"/>
    <s v="female"/>
    <n v="39.6"/>
    <n v="1"/>
    <s v="no"/>
    <x v="1"/>
    <n v="10579.710999999999"/>
  </r>
  <r>
    <n v="48"/>
    <s v="female"/>
    <n v="31.13"/>
    <n v="0"/>
    <s v="no"/>
    <x v="1"/>
    <n v="8280.6226999999999"/>
  </r>
  <r>
    <n v="45"/>
    <s v="female"/>
    <n v="36.299999999999997"/>
    <n v="2"/>
    <s v="no"/>
    <x v="1"/>
    <n v="8527.5319999999992"/>
  </r>
  <r>
    <n v="59"/>
    <s v="female"/>
    <n v="35.200000000000003"/>
    <n v="0"/>
    <s v="no"/>
    <x v="1"/>
    <n v="12244.531000000001"/>
  </r>
  <r>
    <n v="52"/>
    <s v="female"/>
    <n v="25.3"/>
    <n v="2"/>
    <s v="yes"/>
    <x v="1"/>
    <n v="24667.419000000002"/>
  </r>
  <r>
    <n v="26"/>
    <s v="female"/>
    <n v="42.4"/>
    <n v="1"/>
    <s v="no"/>
    <x v="0"/>
    <n v="3410.3240000000001"/>
  </r>
  <r>
    <n v="27"/>
    <s v="male"/>
    <n v="33.155000000000001"/>
    <n v="2"/>
    <s v="no"/>
    <x v="2"/>
    <n v="4058.71245"/>
  </r>
  <r>
    <n v="48"/>
    <s v="female"/>
    <n v="35.909999999999997"/>
    <n v="1"/>
    <s v="no"/>
    <x v="3"/>
    <n v="26392.260289999998"/>
  </r>
  <r>
    <n v="57"/>
    <s v="female"/>
    <n v="28.785"/>
    <n v="4"/>
    <s v="no"/>
    <x v="3"/>
    <n v="14394.398150000001"/>
  </r>
  <r>
    <n v="37"/>
    <s v="male"/>
    <n v="46.53"/>
    <n v="3"/>
    <s v="no"/>
    <x v="1"/>
    <n v="6435.6237000000001"/>
  </r>
  <r>
    <n v="57"/>
    <s v="female"/>
    <n v="23.98"/>
    <n v="1"/>
    <s v="no"/>
    <x v="1"/>
    <n v="22192.437109999999"/>
  </r>
  <r>
    <n v="32"/>
    <s v="female"/>
    <n v="31.54"/>
    <n v="1"/>
    <s v="no"/>
    <x v="3"/>
    <n v="5148.5526"/>
  </r>
  <r>
    <n v="18"/>
    <s v="male"/>
    <n v="33.659999999999997"/>
    <n v="0"/>
    <s v="no"/>
    <x v="1"/>
    <n v="1136.3994"/>
  </r>
  <r>
    <n v="64"/>
    <s v="female"/>
    <n v="22.99"/>
    <n v="0"/>
    <s v="yes"/>
    <x v="1"/>
    <n v="27037.914100000002"/>
  </r>
  <r>
    <n v="43"/>
    <s v="male"/>
    <n v="38.06"/>
    <n v="2"/>
    <s v="yes"/>
    <x v="1"/>
    <n v="42560.430399999997"/>
  </r>
  <r>
    <n v="49"/>
    <s v="male"/>
    <n v="28.7"/>
    <n v="1"/>
    <s v="no"/>
    <x v="0"/>
    <n v="8703.4560000000001"/>
  </r>
  <r>
    <n v="40"/>
    <s v="female"/>
    <n v="32.774999999999999"/>
    <n v="2"/>
    <s v="yes"/>
    <x v="2"/>
    <n v="40003.332249999999"/>
  </r>
  <r>
    <n v="62"/>
    <s v="male"/>
    <n v="32.015000000000001"/>
    <n v="0"/>
    <s v="yes"/>
    <x v="3"/>
    <n v="45710.207849999999"/>
  </r>
  <r>
    <n v="40"/>
    <s v="female"/>
    <n v="29.81"/>
    <n v="1"/>
    <s v="no"/>
    <x v="1"/>
    <n v="6500.2358999999997"/>
  </r>
  <r>
    <n v="30"/>
    <s v="male"/>
    <n v="31.57"/>
    <n v="3"/>
    <s v="no"/>
    <x v="1"/>
    <n v="4837.5823"/>
  </r>
  <r>
    <n v="29"/>
    <s v="female"/>
    <n v="31.16"/>
    <n v="0"/>
    <s v="no"/>
    <x v="3"/>
    <n v="3943.5954000000002"/>
  </r>
  <r>
    <n v="36"/>
    <s v="male"/>
    <n v="29.7"/>
    <n v="0"/>
    <s v="no"/>
    <x v="1"/>
    <n v="4399.7309999999998"/>
  </r>
  <r>
    <n v="41"/>
    <s v="female"/>
    <n v="31.02"/>
    <n v="0"/>
    <s v="no"/>
    <x v="1"/>
    <n v="6185.3208000000004"/>
  </r>
  <r>
    <n v="44"/>
    <s v="female"/>
    <n v="43.89"/>
    <n v="2"/>
    <s v="yes"/>
    <x v="1"/>
    <n v="46200.985099999998"/>
  </r>
  <r>
    <n v="45"/>
    <s v="male"/>
    <n v="21.375"/>
    <n v="0"/>
    <s v="no"/>
    <x v="2"/>
    <n v="7222.7862500000001"/>
  </r>
  <r>
    <n v="55"/>
    <s v="female"/>
    <n v="40.81"/>
    <n v="3"/>
    <s v="no"/>
    <x v="1"/>
    <n v="12485.8009"/>
  </r>
  <r>
    <n v="60"/>
    <s v="male"/>
    <n v="31.35"/>
    <n v="3"/>
    <s v="yes"/>
    <x v="2"/>
    <n v="46130.5265"/>
  </r>
  <r>
    <n v="56"/>
    <s v="male"/>
    <n v="36.1"/>
    <n v="3"/>
    <s v="no"/>
    <x v="0"/>
    <n v="12363.547"/>
  </r>
  <r>
    <n v="49"/>
    <s v="female"/>
    <n v="23.18"/>
    <n v="2"/>
    <s v="no"/>
    <x v="2"/>
    <n v="10156.7832"/>
  </r>
  <r>
    <n v="21"/>
    <s v="female"/>
    <n v="17.399999999999999"/>
    <n v="1"/>
    <s v="no"/>
    <x v="0"/>
    <n v="2585.2689999999998"/>
  </r>
  <r>
    <n v="19"/>
    <s v="male"/>
    <n v="20.3"/>
    <n v="0"/>
    <s v="no"/>
    <x v="0"/>
    <n v="1242.26"/>
  </r>
  <r>
    <n v="39"/>
    <s v="male"/>
    <n v="35.299999999999997"/>
    <n v="2"/>
    <s v="yes"/>
    <x v="0"/>
    <n v="40103.89"/>
  </r>
  <r>
    <n v="53"/>
    <s v="male"/>
    <n v="24.32"/>
    <n v="0"/>
    <s v="no"/>
    <x v="2"/>
    <n v="9863.4717999999993"/>
  </r>
  <r>
    <n v="33"/>
    <s v="female"/>
    <n v="18.5"/>
    <n v="1"/>
    <s v="no"/>
    <x v="0"/>
    <n v="4766.0219999999999"/>
  </r>
  <r>
    <n v="53"/>
    <s v="male"/>
    <n v="26.41"/>
    <n v="2"/>
    <s v="no"/>
    <x v="3"/>
    <n v="11244.376899999999"/>
  </r>
  <r>
    <n v="42"/>
    <s v="male"/>
    <n v="26.125"/>
    <n v="2"/>
    <s v="no"/>
    <x v="3"/>
    <n v="7729.6457499999997"/>
  </r>
  <r>
    <n v="40"/>
    <s v="male"/>
    <n v="41.69"/>
    <n v="0"/>
    <s v="no"/>
    <x v="1"/>
    <n v="5438.7491"/>
  </r>
  <r>
    <n v="47"/>
    <s v="female"/>
    <n v="24.1"/>
    <n v="1"/>
    <s v="no"/>
    <x v="0"/>
    <n v="26236.579969999999"/>
  </r>
  <r>
    <n v="27"/>
    <s v="male"/>
    <n v="31.13"/>
    <n v="1"/>
    <s v="yes"/>
    <x v="1"/>
    <n v="34806.467700000001"/>
  </r>
  <r>
    <n v="21"/>
    <s v="male"/>
    <n v="27.36"/>
    <n v="0"/>
    <s v="no"/>
    <x v="3"/>
    <n v="2104.1134000000002"/>
  </r>
  <r>
    <n v="47"/>
    <s v="male"/>
    <n v="36.200000000000003"/>
    <n v="1"/>
    <s v="no"/>
    <x v="0"/>
    <n v="8068.1850000000004"/>
  </r>
  <r>
    <n v="20"/>
    <s v="male"/>
    <n v="32.395000000000003"/>
    <n v="1"/>
    <s v="no"/>
    <x v="2"/>
    <n v="2362.2290499999999"/>
  </r>
  <r>
    <n v="24"/>
    <s v="male"/>
    <n v="23.655000000000001"/>
    <n v="0"/>
    <s v="no"/>
    <x v="2"/>
    <n v="2352.9684499999998"/>
  </r>
  <r>
    <n v="27"/>
    <s v="female"/>
    <n v="34.799999999999997"/>
    <n v="1"/>
    <s v="no"/>
    <x v="0"/>
    <n v="3577.9989999999998"/>
  </r>
  <r>
    <n v="26"/>
    <s v="female"/>
    <n v="40.185000000000002"/>
    <n v="0"/>
    <s v="no"/>
    <x v="2"/>
    <n v="3201.2451500000002"/>
  </r>
  <r>
    <n v="53"/>
    <s v="female"/>
    <n v="32.299999999999997"/>
    <n v="2"/>
    <s v="no"/>
    <x v="3"/>
    <n v="29186.482360000002"/>
  </r>
  <r>
    <n v="41"/>
    <s v="male"/>
    <n v="35.75"/>
    <n v="1"/>
    <s v="yes"/>
    <x v="1"/>
    <n v="40273.645499999999"/>
  </r>
  <r>
    <n v="56"/>
    <s v="male"/>
    <n v="33.725000000000001"/>
    <n v="0"/>
    <s v="no"/>
    <x v="2"/>
    <n v="10976.24575"/>
  </r>
  <r>
    <n v="23"/>
    <s v="female"/>
    <n v="39.270000000000003"/>
    <n v="2"/>
    <s v="no"/>
    <x v="1"/>
    <n v="3500.6122999999998"/>
  </r>
  <r>
    <n v="21"/>
    <s v="female"/>
    <n v="34.869999999999997"/>
    <n v="0"/>
    <s v="no"/>
    <x v="1"/>
    <n v="2020.5523000000001"/>
  </r>
  <r>
    <n v="50"/>
    <s v="female"/>
    <n v="44.744999999999997"/>
    <n v="0"/>
    <s v="no"/>
    <x v="3"/>
    <n v="9541.6955500000004"/>
  </r>
  <r>
    <n v="53"/>
    <s v="male"/>
    <n v="41.47"/>
    <n v="0"/>
    <s v="no"/>
    <x v="1"/>
    <n v="9504.3102999999992"/>
  </r>
  <r>
    <n v="34"/>
    <s v="female"/>
    <n v="26.41"/>
    <n v="1"/>
    <s v="no"/>
    <x v="2"/>
    <n v="5385.3379000000004"/>
  </r>
  <r>
    <n v="47"/>
    <s v="female"/>
    <n v="29.545000000000002"/>
    <n v="1"/>
    <s v="no"/>
    <x v="2"/>
    <n v="8930.9345499999999"/>
  </r>
  <r>
    <n v="33"/>
    <s v="female"/>
    <n v="32.9"/>
    <n v="2"/>
    <s v="no"/>
    <x v="0"/>
    <n v="5375.0379999999996"/>
  </r>
  <r>
    <n v="51"/>
    <s v="female"/>
    <n v="38.06"/>
    <n v="0"/>
    <s v="yes"/>
    <x v="1"/>
    <n v="44400.4064"/>
  </r>
  <r>
    <n v="49"/>
    <s v="male"/>
    <n v="28.69"/>
    <n v="3"/>
    <s v="no"/>
    <x v="2"/>
    <n v="10264.4421"/>
  </r>
  <r>
    <n v="31"/>
    <s v="female"/>
    <n v="30.495000000000001"/>
    <n v="3"/>
    <s v="no"/>
    <x v="3"/>
    <n v="6113.2310500000003"/>
  </r>
  <r>
    <n v="36"/>
    <s v="female"/>
    <n v="27.74"/>
    <n v="0"/>
    <s v="no"/>
    <x v="3"/>
    <n v="5469.0065999999997"/>
  </r>
  <r>
    <n v="18"/>
    <s v="male"/>
    <n v="35.200000000000003"/>
    <n v="1"/>
    <s v="no"/>
    <x v="1"/>
    <n v="1727.54"/>
  </r>
  <r>
    <n v="50"/>
    <s v="female"/>
    <n v="23.54"/>
    <n v="2"/>
    <s v="no"/>
    <x v="1"/>
    <n v="10107.220600000001"/>
  </r>
  <r>
    <n v="43"/>
    <s v="female"/>
    <n v="30.684999999999999"/>
    <n v="2"/>
    <s v="no"/>
    <x v="2"/>
    <n v="8310.8391499999998"/>
  </r>
  <r>
    <n v="20"/>
    <s v="male"/>
    <n v="40.47"/>
    <n v="0"/>
    <s v="no"/>
    <x v="3"/>
    <n v="1984.4532999999999"/>
  </r>
  <r>
    <n v="24"/>
    <s v="female"/>
    <n v="22.6"/>
    <n v="0"/>
    <s v="no"/>
    <x v="0"/>
    <n v="2457.502"/>
  </r>
  <r>
    <n v="60"/>
    <s v="male"/>
    <n v="28.9"/>
    <n v="0"/>
    <s v="no"/>
    <x v="0"/>
    <n v="12146.971"/>
  </r>
  <r>
    <n v="49"/>
    <s v="female"/>
    <n v="22.61"/>
    <n v="1"/>
    <s v="no"/>
    <x v="2"/>
    <n v="9566.9909000000007"/>
  </r>
  <r>
    <n v="60"/>
    <s v="male"/>
    <n v="24.32"/>
    <n v="1"/>
    <s v="no"/>
    <x v="2"/>
    <n v="13112.604799999999"/>
  </r>
  <r>
    <n v="51"/>
    <s v="female"/>
    <n v="36.67"/>
    <n v="2"/>
    <s v="no"/>
    <x v="2"/>
    <n v="10848.1343"/>
  </r>
  <r>
    <n v="58"/>
    <s v="female"/>
    <n v="33.44"/>
    <n v="0"/>
    <s v="no"/>
    <x v="2"/>
    <n v="12231.613600000001"/>
  </r>
  <r>
    <n v="51"/>
    <s v="female"/>
    <n v="40.659999999999997"/>
    <n v="0"/>
    <s v="no"/>
    <x v="3"/>
    <n v="9875.6803999999993"/>
  </r>
  <r>
    <n v="53"/>
    <s v="male"/>
    <n v="36.6"/>
    <n v="3"/>
    <s v="no"/>
    <x v="0"/>
    <n v="11264.540999999999"/>
  </r>
  <r>
    <n v="62"/>
    <s v="male"/>
    <n v="37.4"/>
    <n v="0"/>
    <s v="no"/>
    <x v="0"/>
    <n v="12979.358"/>
  </r>
  <r>
    <n v="19"/>
    <s v="male"/>
    <n v="35.4"/>
    <n v="0"/>
    <s v="no"/>
    <x v="0"/>
    <n v="1263.249"/>
  </r>
  <r>
    <n v="50"/>
    <s v="female"/>
    <n v="27.074999999999999"/>
    <n v="1"/>
    <s v="no"/>
    <x v="3"/>
    <n v="10106.134249999999"/>
  </r>
  <r>
    <n v="30"/>
    <s v="female"/>
    <n v="39.049999999999997"/>
    <n v="3"/>
    <s v="yes"/>
    <x v="1"/>
    <n v="40932.429499999998"/>
  </r>
  <r>
    <n v="41"/>
    <s v="male"/>
    <n v="28.405000000000001"/>
    <n v="1"/>
    <s v="no"/>
    <x v="2"/>
    <n v="6664.68595"/>
  </r>
  <r>
    <n v="29"/>
    <s v="female"/>
    <n v="21.754999999999999"/>
    <n v="1"/>
    <s v="yes"/>
    <x v="3"/>
    <n v="16657.71745"/>
  </r>
  <r>
    <n v="18"/>
    <s v="female"/>
    <n v="40.28"/>
    <n v="0"/>
    <s v="no"/>
    <x v="3"/>
    <n v="2217.6012000000001"/>
  </r>
  <r>
    <n v="41"/>
    <s v="female"/>
    <n v="36.08"/>
    <n v="1"/>
    <s v="no"/>
    <x v="1"/>
    <n v="6781.3541999999998"/>
  </r>
  <r>
    <n v="35"/>
    <s v="male"/>
    <n v="24.42"/>
    <n v="3"/>
    <s v="yes"/>
    <x v="1"/>
    <n v="19361.998800000001"/>
  </r>
  <r>
    <n v="53"/>
    <s v="male"/>
    <n v="21.4"/>
    <n v="1"/>
    <s v="no"/>
    <x v="0"/>
    <n v="10065.413"/>
  </r>
  <r>
    <n v="24"/>
    <s v="female"/>
    <n v="30.1"/>
    <n v="3"/>
    <s v="no"/>
    <x v="0"/>
    <n v="4234.9269999999997"/>
  </r>
  <r>
    <n v="48"/>
    <s v="female"/>
    <n v="27.265000000000001"/>
    <n v="1"/>
    <s v="no"/>
    <x v="3"/>
    <n v="9447.2503500000003"/>
  </r>
  <r>
    <n v="59"/>
    <s v="female"/>
    <n v="32.1"/>
    <n v="3"/>
    <s v="no"/>
    <x v="0"/>
    <n v="14007.222"/>
  </r>
  <r>
    <n v="49"/>
    <s v="female"/>
    <n v="34.770000000000003"/>
    <n v="1"/>
    <s v="no"/>
    <x v="2"/>
    <n v="9583.8932999999997"/>
  </r>
  <r>
    <n v="37"/>
    <s v="female"/>
    <n v="38.39"/>
    <n v="0"/>
    <s v="yes"/>
    <x v="1"/>
    <n v="40419.019099999998"/>
  </r>
  <r>
    <n v="26"/>
    <s v="male"/>
    <n v="23.7"/>
    <n v="2"/>
    <s v="no"/>
    <x v="0"/>
    <n v="3484.3310000000001"/>
  </r>
  <r>
    <n v="23"/>
    <s v="male"/>
    <n v="31.73"/>
    <n v="3"/>
    <s v="yes"/>
    <x v="3"/>
    <n v="36189.101699999999"/>
  </r>
  <r>
    <n v="29"/>
    <s v="male"/>
    <n v="35.5"/>
    <n v="2"/>
    <s v="yes"/>
    <x v="0"/>
    <n v="44585.455869999998"/>
  </r>
  <r>
    <n v="45"/>
    <s v="male"/>
    <n v="24.035"/>
    <n v="2"/>
    <s v="no"/>
    <x v="3"/>
    <n v="8604.4836500000001"/>
  </r>
  <r>
    <n v="27"/>
    <s v="male"/>
    <n v="29.15"/>
    <n v="0"/>
    <s v="yes"/>
    <x v="1"/>
    <n v="18246.495500000001"/>
  </r>
  <r>
    <n v="53"/>
    <s v="male"/>
    <n v="34.104999999999997"/>
    <n v="0"/>
    <s v="yes"/>
    <x v="3"/>
    <n v="43254.417950000003"/>
  </r>
  <r>
    <n v="31"/>
    <s v="female"/>
    <n v="26.62"/>
    <n v="0"/>
    <s v="no"/>
    <x v="1"/>
    <n v="3757.8447999999999"/>
  </r>
  <r>
    <n v="50"/>
    <s v="male"/>
    <n v="26.41"/>
    <n v="0"/>
    <s v="no"/>
    <x v="2"/>
    <n v="8827.2098999999998"/>
  </r>
  <r>
    <n v="50"/>
    <s v="female"/>
    <n v="30.114999999999998"/>
    <n v="1"/>
    <s v="no"/>
    <x v="2"/>
    <n v="9910.3598500000007"/>
  </r>
  <r>
    <n v="34"/>
    <s v="male"/>
    <n v="27"/>
    <n v="2"/>
    <s v="no"/>
    <x v="0"/>
    <n v="11737.848840000001"/>
  </r>
  <r>
    <n v="19"/>
    <s v="male"/>
    <n v="21.754999999999999"/>
    <n v="0"/>
    <s v="no"/>
    <x v="2"/>
    <n v="1627.2824499999999"/>
  </r>
  <r>
    <n v="47"/>
    <s v="female"/>
    <n v="36"/>
    <n v="1"/>
    <s v="no"/>
    <x v="0"/>
    <n v="8556.9069999999992"/>
  </r>
  <r>
    <n v="28"/>
    <s v="male"/>
    <n v="30.875"/>
    <n v="0"/>
    <s v="no"/>
    <x v="2"/>
    <n v="3062.5082499999999"/>
  </r>
  <r>
    <n v="37"/>
    <s v="female"/>
    <n v="26.4"/>
    <n v="0"/>
    <s v="yes"/>
    <x v="1"/>
    <n v="19539.242999999999"/>
  </r>
  <r>
    <n v="21"/>
    <s v="male"/>
    <n v="28.975000000000001"/>
    <n v="0"/>
    <s v="no"/>
    <x v="2"/>
    <n v="1906.35825"/>
  </r>
  <r>
    <n v="64"/>
    <s v="male"/>
    <n v="37.905000000000001"/>
    <n v="0"/>
    <s v="no"/>
    <x v="2"/>
    <n v="14210.53595"/>
  </r>
  <r>
    <n v="58"/>
    <s v="female"/>
    <n v="22.77"/>
    <n v="0"/>
    <s v="no"/>
    <x v="1"/>
    <n v="11833.782300000001"/>
  </r>
  <r>
    <n v="24"/>
    <s v="male"/>
    <n v="33.630000000000003"/>
    <n v="4"/>
    <s v="no"/>
    <x v="3"/>
    <n v="17128.426080000001"/>
  </r>
  <r>
    <n v="31"/>
    <s v="male"/>
    <n v="27.645"/>
    <n v="2"/>
    <s v="no"/>
    <x v="3"/>
    <n v="5031.26955"/>
  </r>
  <r>
    <n v="39"/>
    <s v="female"/>
    <n v="22.8"/>
    <n v="3"/>
    <s v="no"/>
    <x v="3"/>
    <n v="7985.8149999999996"/>
  </r>
  <r>
    <n v="47"/>
    <s v="female"/>
    <n v="27.83"/>
    <n v="0"/>
    <s v="yes"/>
    <x v="1"/>
    <n v="23065.420699999999"/>
  </r>
  <r>
    <n v="30"/>
    <s v="male"/>
    <n v="37.43"/>
    <n v="3"/>
    <s v="no"/>
    <x v="3"/>
    <n v="5428.7277000000004"/>
  </r>
  <r>
    <n v="18"/>
    <s v="male"/>
    <n v="38.17"/>
    <n v="0"/>
    <s v="yes"/>
    <x v="1"/>
    <n v="36307.798300000002"/>
  </r>
  <r>
    <n v="22"/>
    <s v="female"/>
    <n v="34.58"/>
    <n v="2"/>
    <s v="no"/>
    <x v="3"/>
    <n v="3925.7582000000002"/>
  </r>
  <r>
    <n v="23"/>
    <s v="male"/>
    <n v="35.200000000000003"/>
    <n v="1"/>
    <s v="no"/>
    <x v="0"/>
    <n v="2416.9549999999999"/>
  </r>
  <r>
    <n v="33"/>
    <s v="male"/>
    <n v="27.1"/>
    <n v="1"/>
    <s v="yes"/>
    <x v="0"/>
    <n v="19040.876"/>
  </r>
  <r>
    <n v="27"/>
    <s v="male"/>
    <n v="26.03"/>
    <n v="0"/>
    <s v="no"/>
    <x v="3"/>
    <n v="3070.8087"/>
  </r>
  <r>
    <n v="45"/>
    <s v="female"/>
    <n v="25.175000000000001"/>
    <n v="2"/>
    <s v="no"/>
    <x v="3"/>
    <n v="9095.0682500000003"/>
  </r>
  <r>
    <n v="57"/>
    <s v="female"/>
    <n v="31.824999999999999"/>
    <n v="0"/>
    <s v="no"/>
    <x v="2"/>
    <n v="11842.623750000001"/>
  </r>
  <r>
    <n v="47"/>
    <s v="male"/>
    <n v="32.299999999999997"/>
    <n v="1"/>
    <s v="no"/>
    <x v="0"/>
    <n v="8062.7640000000001"/>
  </r>
  <r>
    <n v="42"/>
    <s v="female"/>
    <n v="29"/>
    <n v="1"/>
    <s v="no"/>
    <x v="0"/>
    <n v="7050.6419999999998"/>
  </r>
  <r>
    <n v="64"/>
    <s v="female"/>
    <n v="39.700000000000003"/>
    <n v="0"/>
    <s v="no"/>
    <x v="0"/>
    <n v="14319.031000000001"/>
  </r>
  <r>
    <n v="38"/>
    <s v="female"/>
    <n v="19.475000000000001"/>
    <n v="2"/>
    <s v="no"/>
    <x v="2"/>
    <n v="6933.2422500000002"/>
  </r>
  <r>
    <n v="61"/>
    <s v="male"/>
    <n v="36.1"/>
    <n v="3"/>
    <s v="no"/>
    <x v="0"/>
    <n v="27941.28758"/>
  </r>
  <r>
    <n v="53"/>
    <s v="female"/>
    <n v="26.7"/>
    <n v="2"/>
    <s v="no"/>
    <x v="0"/>
    <n v="11150.78"/>
  </r>
  <r>
    <n v="44"/>
    <s v="female"/>
    <n v="36.479999999999997"/>
    <n v="0"/>
    <s v="no"/>
    <x v="3"/>
    <n v="12797.20962"/>
  </r>
  <r>
    <n v="19"/>
    <s v="female"/>
    <n v="28.88"/>
    <n v="0"/>
    <s v="yes"/>
    <x v="2"/>
    <n v="17748.5062"/>
  </r>
  <r>
    <n v="41"/>
    <s v="male"/>
    <n v="34.200000000000003"/>
    <n v="2"/>
    <s v="no"/>
    <x v="2"/>
    <n v="7261.741"/>
  </r>
  <r>
    <n v="51"/>
    <s v="male"/>
    <n v="33.33"/>
    <n v="3"/>
    <s v="no"/>
    <x v="1"/>
    <n v="10560.4917"/>
  </r>
  <r>
    <n v="40"/>
    <s v="male"/>
    <n v="32.299999999999997"/>
    <n v="2"/>
    <s v="no"/>
    <x v="2"/>
    <n v="6986.6970000000001"/>
  </r>
  <r>
    <n v="45"/>
    <s v="male"/>
    <n v="39.805"/>
    <n v="0"/>
    <s v="no"/>
    <x v="3"/>
    <n v="7448.4039499999999"/>
  </r>
  <r>
    <n v="35"/>
    <s v="male"/>
    <n v="34.32"/>
    <n v="3"/>
    <s v="no"/>
    <x v="1"/>
    <n v="5934.3797999999997"/>
  </r>
  <r>
    <n v="53"/>
    <s v="male"/>
    <n v="28.88"/>
    <n v="0"/>
    <s v="no"/>
    <x v="2"/>
    <n v="9869.8101999999999"/>
  </r>
  <r>
    <n v="30"/>
    <s v="male"/>
    <n v="24.4"/>
    <n v="3"/>
    <s v="yes"/>
    <x v="0"/>
    <n v="18259.216"/>
  </r>
  <r>
    <n v="18"/>
    <s v="male"/>
    <n v="41.14"/>
    <n v="0"/>
    <s v="no"/>
    <x v="1"/>
    <n v="1146.7965999999999"/>
  </r>
  <r>
    <n v="51"/>
    <s v="male"/>
    <n v="35.97"/>
    <n v="1"/>
    <s v="no"/>
    <x v="1"/>
    <n v="9386.1612999999998"/>
  </r>
  <r>
    <n v="50"/>
    <s v="female"/>
    <n v="27.6"/>
    <n v="1"/>
    <s v="yes"/>
    <x v="0"/>
    <n v="24520.263999999999"/>
  </r>
  <r>
    <n v="31"/>
    <s v="female"/>
    <n v="29.26"/>
    <n v="1"/>
    <s v="no"/>
    <x v="1"/>
    <n v="4350.5144"/>
  </r>
  <r>
    <n v="35"/>
    <s v="female"/>
    <n v="27.7"/>
    <n v="3"/>
    <s v="no"/>
    <x v="0"/>
    <n v="6414.1779999999999"/>
  </r>
  <r>
    <n v="60"/>
    <s v="male"/>
    <n v="36.954999999999998"/>
    <n v="0"/>
    <s v="no"/>
    <x v="3"/>
    <n v="12741.167450000001"/>
  </r>
  <r>
    <n v="21"/>
    <s v="male"/>
    <n v="36.86"/>
    <n v="0"/>
    <s v="no"/>
    <x v="2"/>
    <n v="1917.3184000000001"/>
  </r>
  <r>
    <n v="29"/>
    <s v="male"/>
    <n v="22.515000000000001"/>
    <n v="3"/>
    <s v="no"/>
    <x v="3"/>
    <n v="5209.5788499999999"/>
  </r>
  <r>
    <n v="62"/>
    <s v="female"/>
    <n v="29.92"/>
    <n v="0"/>
    <s v="no"/>
    <x v="1"/>
    <n v="13457.960800000001"/>
  </r>
  <r>
    <n v="39"/>
    <s v="female"/>
    <n v="41.8"/>
    <n v="0"/>
    <s v="no"/>
    <x v="1"/>
    <n v="5662.2250000000004"/>
  </r>
  <r>
    <n v="19"/>
    <s v="male"/>
    <n v="27.6"/>
    <n v="0"/>
    <s v="no"/>
    <x v="0"/>
    <n v="1252.4069999999999"/>
  </r>
  <r>
    <n v="22"/>
    <s v="female"/>
    <n v="23.18"/>
    <n v="0"/>
    <s v="no"/>
    <x v="3"/>
    <n v="2731.9122000000002"/>
  </r>
  <r>
    <n v="53"/>
    <s v="male"/>
    <n v="20.9"/>
    <n v="0"/>
    <s v="yes"/>
    <x v="1"/>
    <n v="21195.817999999999"/>
  </r>
  <r>
    <n v="39"/>
    <s v="female"/>
    <n v="31.92"/>
    <n v="2"/>
    <s v="no"/>
    <x v="2"/>
    <n v="7209.4917999999998"/>
  </r>
  <r>
    <n v="27"/>
    <s v="male"/>
    <n v="28.5"/>
    <n v="0"/>
    <s v="yes"/>
    <x v="2"/>
    <n v="18310.741999999998"/>
  </r>
  <r>
    <n v="30"/>
    <s v="male"/>
    <n v="44.22"/>
    <n v="2"/>
    <s v="no"/>
    <x v="1"/>
    <n v="4266.1657999999998"/>
  </r>
  <r>
    <n v="30"/>
    <s v="female"/>
    <n v="22.895"/>
    <n v="1"/>
    <s v="no"/>
    <x v="3"/>
    <n v="4719.52405"/>
  </r>
  <r>
    <n v="58"/>
    <s v="female"/>
    <n v="33.1"/>
    <n v="0"/>
    <s v="no"/>
    <x v="0"/>
    <n v="11848.141"/>
  </r>
  <r>
    <n v="33"/>
    <s v="male"/>
    <n v="24.795000000000002"/>
    <n v="0"/>
    <s v="yes"/>
    <x v="3"/>
    <n v="17904.527050000001"/>
  </r>
  <r>
    <n v="42"/>
    <s v="female"/>
    <n v="26.18"/>
    <n v="1"/>
    <s v="no"/>
    <x v="1"/>
    <n v="7046.7222000000002"/>
  </r>
  <r>
    <n v="64"/>
    <s v="female"/>
    <n v="35.97"/>
    <n v="0"/>
    <s v="no"/>
    <x v="1"/>
    <n v="14313.846299999999"/>
  </r>
  <r>
    <n v="21"/>
    <s v="male"/>
    <n v="22.3"/>
    <n v="1"/>
    <s v="no"/>
    <x v="0"/>
    <n v="2103.08"/>
  </r>
  <r>
    <n v="18"/>
    <s v="female"/>
    <n v="42.24"/>
    <n v="0"/>
    <s v="yes"/>
    <x v="1"/>
    <n v="38792.685599999997"/>
  </r>
  <r>
    <n v="23"/>
    <s v="male"/>
    <n v="26.51"/>
    <n v="0"/>
    <s v="no"/>
    <x v="1"/>
    <n v="1815.8759"/>
  </r>
  <r>
    <n v="45"/>
    <s v="female"/>
    <n v="35.814999999999998"/>
    <n v="0"/>
    <s v="no"/>
    <x v="2"/>
    <n v="7731.8578500000003"/>
  </r>
  <r>
    <n v="40"/>
    <s v="female"/>
    <n v="41.42"/>
    <n v="1"/>
    <s v="no"/>
    <x v="2"/>
    <n v="28476.734990000001"/>
  </r>
  <r>
    <n v="19"/>
    <s v="female"/>
    <n v="36.575000000000003"/>
    <n v="0"/>
    <s v="no"/>
    <x v="2"/>
    <n v="2136.8822500000001"/>
  </r>
  <r>
    <n v="18"/>
    <s v="male"/>
    <n v="30.14"/>
    <n v="0"/>
    <s v="no"/>
    <x v="1"/>
    <n v="1131.5065999999999"/>
  </r>
  <r>
    <n v="25"/>
    <s v="male"/>
    <n v="25.84"/>
    <n v="1"/>
    <s v="no"/>
    <x v="3"/>
    <n v="3309.7926000000002"/>
  </r>
  <r>
    <n v="46"/>
    <s v="female"/>
    <n v="30.8"/>
    <n v="3"/>
    <s v="no"/>
    <x v="0"/>
    <n v="9414.92"/>
  </r>
  <r>
    <n v="33"/>
    <s v="female"/>
    <n v="42.94"/>
    <n v="3"/>
    <s v="no"/>
    <x v="2"/>
    <n v="6360.9935999999998"/>
  </r>
  <r>
    <n v="54"/>
    <s v="male"/>
    <n v="21.01"/>
    <n v="2"/>
    <s v="no"/>
    <x v="1"/>
    <n v="11013.7119"/>
  </r>
  <r>
    <n v="28"/>
    <s v="male"/>
    <n v="22.515000000000001"/>
    <n v="2"/>
    <s v="no"/>
    <x v="3"/>
    <n v="4428.8878500000001"/>
  </r>
  <r>
    <n v="36"/>
    <s v="male"/>
    <n v="34.43"/>
    <n v="2"/>
    <s v="no"/>
    <x v="1"/>
    <n v="5584.3056999999999"/>
  </r>
  <r>
    <n v="20"/>
    <s v="female"/>
    <n v="31.46"/>
    <n v="0"/>
    <s v="no"/>
    <x v="1"/>
    <n v="1877.9294"/>
  </r>
  <r>
    <n v="24"/>
    <s v="female"/>
    <n v="24.225000000000001"/>
    <n v="0"/>
    <s v="no"/>
    <x v="2"/>
    <n v="2842.7607499999999"/>
  </r>
  <r>
    <n v="23"/>
    <s v="male"/>
    <n v="37.1"/>
    <n v="3"/>
    <s v="no"/>
    <x v="0"/>
    <n v="3597.596"/>
  </r>
  <r>
    <n v="47"/>
    <s v="female"/>
    <n v="26.125"/>
    <n v="1"/>
    <s v="yes"/>
    <x v="3"/>
    <n v="23401.30575"/>
  </r>
  <r>
    <n v="33"/>
    <s v="female"/>
    <n v="35.53"/>
    <n v="0"/>
    <s v="yes"/>
    <x v="2"/>
    <n v="55135.402090000003"/>
  </r>
  <r>
    <n v="45"/>
    <s v="male"/>
    <n v="33.700000000000003"/>
    <n v="1"/>
    <s v="no"/>
    <x v="0"/>
    <n v="7445.9179999999997"/>
  </r>
  <r>
    <n v="26"/>
    <s v="male"/>
    <n v="17.670000000000002"/>
    <n v="0"/>
    <s v="no"/>
    <x v="2"/>
    <n v="2680.9493000000002"/>
  </r>
  <r>
    <n v="18"/>
    <s v="female"/>
    <n v="31.13"/>
    <n v="0"/>
    <s v="no"/>
    <x v="1"/>
    <n v="1621.8827000000001"/>
  </r>
  <r>
    <n v="44"/>
    <s v="female"/>
    <n v="29.81"/>
    <n v="2"/>
    <s v="no"/>
    <x v="1"/>
    <n v="8219.2039000000004"/>
  </r>
  <r>
    <n v="60"/>
    <s v="male"/>
    <n v="24.32"/>
    <n v="0"/>
    <s v="no"/>
    <x v="2"/>
    <n v="12523.604799999999"/>
  </r>
  <r>
    <n v="64"/>
    <s v="female"/>
    <n v="31.824999999999999"/>
    <n v="2"/>
    <s v="no"/>
    <x v="3"/>
    <n v="16069.08475"/>
  </r>
  <r>
    <n v="56"/>
    <s v="male"/>
    <n v="31.79"/>
    <n v="2"/>
    <s v="yes"/>
    <x v="1"/>
    <n v="43813.866099999999"/>
  </r>
  <r>
    <n v="36"/>
    <s v="male"/>
    <n v="28.024999999999999"/>
    <n v="1"/>
    <s v="yes"/>
    <x v="3"/>
    <n v="20773.62775"/>
  </r>
  <r>
    <n v="41"/>
    <s v="male"/>
    <n v="30.78"/>
    <n v="3"/>
    <s v="yes"/>
    <x v="3"/>
    <n v="39597.407200000001"/>
  </r>
  <r>
    <n v="39"/>
    <s v="male"/>
    <n v="21.85"/>
    <n v="1"/>
    <s v="no"/>
    <x v="2"/>
    <n v="6117.4944999999998"/>
  </r>
  <r>
    <n v="63"/>
    <s v="male"/>
    <n v="33.1"/>
    <n v="0"/>
    <s v="no"/>
    <x v="0"/>
    <n v="13393.755999999999"/>
  </r>
  <r>
    <n v="36"/>
    <s v="female"/>
    <n v="25.84"/>
    <n v="0"/>
    <s v="no"/>
    <x v="2"/>
    <n v="5266.3656000000001"/>
  </r>
  <r>
    <n v="28"/>
    <s v="female"/>
    <n v="23.844999999999999"/>
    <n v="2"/>
    <s v="no"/>
    <x v="2"/>
    <n v="4719.7365499999996"/>
  </r>
  <r>
    <n v="58"/>
    <s v="male"/>
    <n v="34.39"/>
    <n v="0"/>
    <s v="no"/>
    <x v="2"/>
    <n v="11743.9341"/>
  </r>
  <r>
    <n v="36"/>
    <s v="male"/>
    <n v="33.82"/>
    <n v="1"/>
    <s v="no"/>
    <x v="2"/>
    <n v="5377.4578000000001"/>
  </r>
  <r>
    <n v="42"/>
    <s v="male"/>
    <n v="35.97"/>
    <n v="2"/>
    <s v="no"/>
    <x v="1"/>
    <n v="7160.3302999999996"/>
  </r>
  <r>
    <n v="36"/>
    <s v="male"/>
    <n v="31.5"/>
    <n v="0"/>
    <s v="no"/>
    <x v="0"/>
    <n v="4402.2330000000002"/>
  </r>
  <r>
    <n v="56"/>
    <s v="female"/>
    <n v="28.31"/>
    <n v="0"/>
    <s v="no"/>
    <x v="3"/>
    <n v="11657.7189"/>
  </r>
  <r>
    <n v="35"/>
    <s v="female"/>
    <n v="23.465"/>
    <n v="2"/>
    <s v="no"/>
    <x v="3"/>
    <n v="6402.2913500000004"/>
  </r>
  <r>
    <n v="59"/>
    <s v="female"/>
    <n v="31.35"/>
    <n v="0"/>
    <s v="no"/>
    <x v="2"/>
    <n v="12622.1795"/>
  </r>
  <r>
    <n v="21"/>
    <s v="male"/>
    <n v="31.1"/>
    <n v="0"/>
    <s v="no"/>
    <x v="0"/>
    <n v="1526.3119999999999"/>
  </r>
  <r>
    <n v="59"/>
    <s v="male"/>
    <n v="24.7"/>
    <n v="0"/>
    <s v="no"/>
    <x v="3"/>
    <n v="12323.936"/>
  </r>
  <r>
    <n v="23"/>
    <s v="female"/>
    <n v="32.78"/>
    <n v="2"/>
    <s v="yes"/>
    <x v="1"/>
    <n v="36021.011200000001"/>
  </r>
  <r>
    <n v="57"/>
    <s v="female"/>
    <n v="29.81"/>
    <n v="0"/>
    <s v="yes"/>
    <x v="1"/>
    <n v="27533.912899999999"/>
  </r>
  <r>
    <n v="53"/>
    <s v="male"/>
    <n v="30.495000000000001"/>
    <n v="0"/>
    <s v="no"/>
    <x v="3"/>
    <n v="10072.055050000001"/>
  </r>
  <r>
    <n v="60"/>
    <s v="female"/>
    <n v="32.450000000000003"/>
    <n v="0"/>
    <s v="yes"/>
    <x v="1"/>
    <n v="45008.955499999996"/>
  </r>
  <r>
    <n v="51"/>
    <s v="female"/>
    <n v="34.200000000000003"/>
    <n v="1"/>
    <s v="no"/>
    <x v="0"/>
    <n v="9872.7009999999991"/>
  </r>
  <r>
    <n v="23"/>
    <s v="male"/>
    <n v="50.38"/>
    <n v="1"/>
    <s v="no"/>
    <x v="1"/>
    <n v="2438.0551999999998"/>
  </r>
  <r>
    <n v="27"/>
    <s v="female"/>
    <n v="24.1"/>
    <n v="0"/>
    <s v="no"/>
    <x v="0"/>
    <n v="2974.1260000000002"/>
  </r>
  <r>
    <n v="55"/>
    <s v="male"/>
    <n v="32.774999999999999"/>
    <n v="0"/>
    <s v="no"/>
    <x v="2"/>
    <n v="10601.632250000001"/>
  </r>
  <r>
    <n v="37"/>
    <s v="female"/>
    <n v="30.78"/>
    <n v="0"/>
    <s v="yes"/>
    <x v="3"/>
    <n v="37270.1512"/>
  </r>
  <r>
    <n v="61"/>
    <s v="male"/>
    <n v="32.299999999999997"/>
    <n v="2"/>
    <s v="no"/>
    <x v="2"/>
    <n v="14119.62"/>
  </r>
  <r>
    <n v="46"/>
    <s v="female"/>
    <n v="35.53"/>
    <n v="0"/>
    <s v="yes"/>
    <x v="3"/>
    <n v="42111.664700000001"/>
  </r>
  <r>
    <n v="53"/>
    <s v="female"/>
    <n v="23.75"/>
    <n v="2"/>
    <s v="no"/>
    <x v="3"/>
    <n v="11729.6795"/>
  </r>
  <r>
    <n v="49"/>
    <s v="female"/>
    <n v="23.844999999999999"/>
    <n v="3"/>
    <s v="yes"/>
    <x v="3"/>
    <n v="24106.912550000001"/>
  </r>
  <r>
    <n v="20"/>
    <s v="female"/>
    <n v="29.6"/>
    <n v="0"/>
    <s v="no"/>
    <x v="0"/>
    <n v="1875.3440000000001"/>
  </r>
  <r>
    <n v="48"/>
    <s v="female"/>
    <n v="33.11"/>
    <n v="0"/>
    <s v="yes"/>
    <x v="1"/>
    <n v="40974.164900000003"/>
  </r>
  <r>
    <n v="25"/>
    <s v="male"/>
    <n v="24.13"/>
    <n v="0"/>
    <s v="yes"/>
    <x v="2"/>
    <n v="15817.985699999999"/>
  </r>
  <r>
    <n v="25"/>
    <s v="female"/>
    <n v="32.229999999999997"/>
    <n v="1"/>
    <s v="no"/>
    <x v="1"/>
    <n v="18218.161390000001"/>
  </r>
  <r>
    <n v="57"/>
    <s v="male"/>
    <n v="28.1"/>
    <n v="0"/>
    <s v="no"/>
    <x v="0"/>
    <n v="10965.446"/>
  </r>
  <r>
    <n v="37"/>
    <s v="female"/>
    <n v="47.6"/>
    <n v="2"/>
    <s v="yes"/>
    <x v="0"/>
    <n v="46113.510999999999"/>
  </r>
  <r>
    <n v="38"/>
    <s v="female"/>
    <n v="28"/>
    <n v="3"/>
    <s v="no"/>
    <x v="0"/>
    <n v="7151.0919999999996"/>
  </r>
  <r>
    <n v="55"/>
    <s v="female"/>
    <n v="33.534999999999997"/>
    <n v="2"/>
    <s v="no"/>
    <x v="2"/>
    <n v="12269.68865"/>
  </r>
  <r>
    <n v="36"/>
    <s v="female"/>
    <n v="19.855"/>
    <n v="0"/>
    <s v="no"/>
    <x v="3"/>
    <n v="5458.0464499999998"/>
  </r>
  <r>
    <n v="51"/>
    <s v="male"/>
    <n v="25.4"/>
    <n v="0"/>
    <s v="no"/>
    <x v="0"/>
    <n v="8782.4689999999991"/>
  </r>
  <r>
    <n v="40"/>
    <s v="male"/>
    <n v="29.9"/>
    <n v="2"/>
    <s v="no"/>
    <x v="0"/>
    <n v="6600.3609999999999"/>
  </r>
  <r>
    <n v="18"/>
    <s v="male"/>
    <n v="37.29"/>
    <n v="0"/>
    <s v="no"/>
    <x v="1"/>
    <n v="1141.4450999999999"/>
  </r>
  <r>
    <n v="57"/>
    <s v="male"/>
    <n v="43.7"/>
    <n v="1"/>
    <s v="no"/>
    <x v="0"/>
    <n v="11576.13"/>
  </r>
  <r>
    <n v="61"/>
    <s v="male"/>
    <n v="23.655000000000001"/>
    <n v="0"/>
    <s v="no"/>
    <x v="3"/>
    <n v="13129.603450000001"/>
  </r>
  <r>
    <n v="25"/>
    <s v="female"/>
    <n v="24.3"/>
    <n v="3"/>
    <s v="no"/>
    <x v="0"/>
    <n v="4391.652"/>
  </r>
  <r>
    <n v="50"/>
    <s v="male"/>
    <n v="36.200000000000003"/>
    <n v="0"/>
    <s v="no"/>
    <x v="0"/>
    <n v="8457.8179999999993"/>
  </r>
  <r>
    <n v="26"/>
    <s v="female"/>
    <n v="29.48"/>
    <n v="1"/>
    <s v="no"/>
    <x v="1"/>
    <n v="3392.3652000000002"/>
  </r>
  <r>
    <n v="42"/>
    <s v="male"/>
    <n v="24.86"/>
    <n v="0"/>
    <s v="no"/>
    <x v="1"/>
    <n v="5966.8873999999996"/>
  </r>
  <r>
    <n v="43"/>
    <s v="male"/>
    <n v="30.1"/>
    <n v="1"/>
    <s v="no"/>
    <x v="0"/>
    <n v="6849.0259999999998"/>
  </r>
  <r>
    <n v="44"/>
    <s v="male"/>
    <n v="21.85"/>
    <n v="3"/>
    <s v="no"/>
    <x v="3"/>
    <n v="8891.1394999999993"/>
  </r>
  <r>
    <n v="23"/>
    <s v="female"/>
    <n v="28.12"/>
    <n v="0"/>
    <s v="no"/>
    <x v="2"/>
    <n v="2690.1138000000001"/>
  </r>
  <r>
    <n v="49"/>
    <s v="female"/>
    <n v="27.1"/>
    <n v="1"/>
    <s v="no"/>
    <x v="0"/>
    <n v="26140.3603"/>
  </r>
  <r>
    <n v="33"/>
    <s v="male"/>
    <n v="33.44"/>
    <n v="5"/>
    <s v="no"/>
    <x v="1"/>
    <n v="6653.7885999999999"/>
  </r>
  <r>
    <n v="41"/>
    <s v="male"/>
    <n v="28.8"/>
    <n v="1"/>
    <s v="no"/>
    <x v="0"/>
    <n v="6282.2349999999997"/>
  </r>
  <r>
    <n v="37"/>
    <s v="female"/>
    <n v="29.5"/>
    <n v="2"/>
    <s v="no"/>
    <x v="0"/>
    <n v="6311.9520000000002"/>
  </r>
  <r>
    <n v="22"/>
    <s v="male"/>
    <n v="34.799999999999997"/>
    <n v="3"/>
    <s v="no"/>
    <x v="0"/>
    <n v="3443.0639999999999"/>
  </r>
  <r>
    <n v="23"/>
    <s v="male"/>
    <n v="27.36"/>
    <n v="1"/>
    <s v="no"/>
    <x v="2"/>
    <n v="2789.0574000000001"/>
  </r>
  <r>
    <n v="21"/>
    <s v="female"/>
    <n v="22.135000000000002"/>
    <n v="0"/>
    <s v="no"/>
    <x v="3"/>
    <n v="2585.8506499999999"/>
  </r>
  <r>
    <n v="51"/>
    <s v="female"/>
    <n v="37.049999999999997"/>
    <n v="3"/>
    <s v="yes"/>
    <x v="3"/>
    <n v="46255.112500000003"/>
  </r>
  <r>
    <n v="25"/>
    <s v="male"/>
    <n v="26.695"/>
    <n v="4"/>
    <s v="no"/>
    <x v="2"/>
    <n v="4877.9810500000003"/>
  </r>
  <r>
    <n v="32"/>
    <s v="male"/>
    <n v="28.93"/>
    <n v="1"/>
    <s v="yes"/>
    <x v="1"/>
    <n v="19719.6947"/>
  </r>
  <r>
    <n v="57"/>
    <s v="male"/>
    <n v="28.975000000000001"/>
    <n v="0"/>
    <s v="yes"/>
    <x v="3"/>
    <n v="27218.437249999999"/>
  </r>
  <r>
    <n v="36"/>
    <s v="female"/>
    <n v="30.02"/>
    <n v="0"/>
    <s v="no"/>
    <x v="2"/>
    <n v="5272.1758"/>
  </r>
  <r>
    <n v="22"/>
    <s v="male"/>
    <n v="39.5"/>
    <n v="0"/>
    <s v="no"/>
    <x v="0"/>
    <n v="1682.597"/>
  </r>
  <r>
    <n v="57"/>
    <s v="male"/>
    <n v="33.630000000000003"/>
    <n v="1"/>
    <s v="no"/>
    <x v="2"/>
    <n v="11945.1327"/>
  </r>
  <r>
    <n v="64"/>
    <s v="female"/>
    <n v="26.885000000000002"/>
    <n v="0"/>
    <s v="yes"/>
    <x v="2"/>
    <n v="29330.98315"/>
  </r>
  <r>
    <n v="36"/>
    <s v="female"/>
    <n v="29.04"/>
    <n v="4"/>
    <s v="no"/>
    <x v="1"/>
    <n v="7243.8136000000004"/>
  </r>
  <r>
    <n v="54"/>
    <s v="male"/>
    <n v="24.035"/>
    <n v="0"/>
    <s v="no"/>
    <x v="3"/>
    <n v="10422.916649999999"/>
  </r>
  <r>
    <n v="47"/>
    <s v="male"/>
    <n v="38.94"/>
    <n v="2"/>
    <s v="yes"/>
    <x v="1"/>
    <n v="44202.653599999998"/>
  </r>
  <r>
    <n v="62"/>
    <s v="male"/>
    <n v="32.11"/>
    <n v="0"/>
    <s v="no"/>
    <x v="3"/>
    <n v="13555.0049"/>
  </r>
  <r>
    <n v="61"/>
    <s v="female"/>
    <n v="44"/>
    <n v="0"/>
    <s v="no"/>
    <x v="0"/>
    <n v="13063.883"/>
  </r>
  <r>
    <n v="43"/>
    <s v="female"/>
    <n v="20.045000000000002"/>
    <n v="2"/>
    <s v="yes"/>
    <x v="3"/>
    <n v="19798.054550000001"/>
  </r>
  <r>
    <n v="19"/>
    <s v="male"/>
    <n v="25.555"/>
    <n v="1"/>
    <s v="no"/>
    <x v="2"/>
    <n v="2221.5644499999999"/>
  </r>
  <r>
    <n v="18"/>
    <s v="female"/>
    <n v="40.26"/>
    <n v="0"/>
    <s v="no"/>
    <x v="1"/>
    <n v="1634.5734"/>
  </r>
  <r>
    <n v="19"/>
    <s v="female"/>
    <n v="22.515000000000001"/>
    <n v="0"/>
    <s v="no"/>
    <x v="2"/>
    <n v="2117.3388500000001"/>
  </r>
  <r>
    <n v="49"/>
    <s v="male"/>
    <n v="22.515000000000001"/>
    <n v="0"/>
    <s v="no"/>
    <x v="3"/>
    <n v="8688.8588500000005"/>
  </r>
  <r>
    <n v="60"/>
    <s v="male"/>
    <n v="40.92"/>
    <n v="0"/>
    <s v="yes"/>
    <x v="1"/>
    <n v="48673.558799999999"/>
  </r>
  <r>
    <n v="26"/>
    <s v="male"/>
    <n v="27.265000000000001"/>
    <n v="3"/>
    <s v="no"/>
    <x v="3"/>
    <n v="4661.2863500000003"/>
  </r>
  <r>
    <n v="49"/>
    <s v="male"/>
    <n v="36.85"/>
    <n v="0"/>
    <s v="no"/>
    <x v="1"/>
    <n v="8125.7844999999998"/>
  </r>
  <r>
    <n v="60"/>
    <s v="female"/>
    <n v="35.1"/>
    <n v="0"/>
    <s v="no"/>
    <x v="0"/>
    <n v="12644.589"/>
  </r>
  <r>
    <n v="26"/>
    <s v="female"/>
    <n v="29.355"/>
    <n v="2"/>
    <s v="no"/>
    <x v="3"/>
    <n v="4564.1914500000003"/>
  </r>
  <r>
    <n v="27"/>
    <s v="male"/>
    <n v="32.585000000000001"/>
    <n v="3"/>
    <s v="no"/>
    <x v="3"/>
    <n v="4846.9201499999999"/>
  </r>
  <r>
    <n v="44"/>
    <s v="female"/>
    <n v="32.340000000000003"/>
    <n v="1"/>
    <s v="no"/>
    <x v="1"/>
    <n v="7633.7205999999996"/>
  </r>
  <r>
    <n v="63"/>
    <s v="male"/>
    <n v="39.799999999999997"/>
    <n v="3"/>
    <s v="no"/>
    <x v="0"/>
    <n v="15170.069"/>
  </r>
  <r>
    <n v="32"/>
    <s v="female"/>
    <n v="24.6"/>
    <n v="0"/>
    <s v="yes"/>
    <x v="0"/>
    <n v="17496.306"/>
  </r>
  <r>
    <n v="22"/>
    <s v="male"/>
    <n v="28.31"/>
    <n v="1"/>
    <s v="no"/>
    <x v="2"/>
    <n v="2639.0428999999999"/>
  </r>
  <r>
    <n v="18"/>
    <s v="male"/>
    <n v="31.73"/>
    <n v="0"/>
    <s v="yes"/>
    <x v="3"/>
    <n v="33732.686699999998"/>
  </r>
  <r>
    <n v="59"/>
    <s v="female"/>
    <n v="26.695"/>
    <n v="3"/>
    <s v="no"/>
    <x v="2"/>
    <n v="14382.709049999999"/>
  </r>
  <r>
    <n v="44"/>
    <s v="female"/>
    <n v="27.5"/>
    <n v="1"/>
    <s v="no"/>
    <x v="0"/>
    <n v="7626.9930000000004"/>
  </r>
  <r>
    <n v="33"/>
    <s v="male"/>
    <n v="24.605"/>
    <n v="2"/>
    <s v="no"/>
    <x v="2"/>
    <n v="5257.5079500000002"/>
  </r>
  <r>
    <n v="24"/>
    <s v="female"/>
    <n v="33.99"/>
    <n v="0"/>
    <s v="no"/>
    <x v="1"/>
    <n v="2473.3341"/>
  </r>
  <r>
    <n v="43"/>
    <s v="female"/>
    <n v="26.885000000000002"/>
    <n v="0"/>
    <s v="yes"/>
    <x v="2"/>
    <n v="21774.32215"/>
  </r>
  <r>
    <n v="45"/>
    <s v="male"/>
    <n v="22.895"/>
    <n v="0"/>
    <s v="yes"/>
    <x v="3"/>
    <n v="35069.374519999998"/>
  </r>
  <r>
    <n v="61"/>
    <s v="female"/>
    <n v="28.2"/>
    <n v="0"/>
    <s v="no"/>
    <x v="0"/>
    <n v="13041.921"/>
  </r>
  <r>
    <n v="35"/>
    <s v="female"/>
    <n v="34.21"/>
    <n v="1"/>
    <s v="no"/>
    <x v="1"/>
    <n v="5245.2268999999997"/>
  </r>
  <r>
    <n v="62"/>
    <s v="female"/>
    <n v="25"/>
    <n v="0"/>
    <s v="no"/>
    <x v="0"/>
    <n v="13451.121999999999"/>
  </r>
  <r>
    <n v="62"/>
    <s v="female"/>
    <n v="33.200000000000003"/>
    <n v="0"/>
    <s v="no"/>
    <x v="0"/>
    <n v="13462.52"/>
  </r>
  <r>
    <n v="38"/>
    <s v="male"/>
    <n v="31"/>
    <n v="1"/>
    <s v="no"/>
    <x v="0"/>
    <n v="5488.2619999999997"/>
  </r>
  <r>
    <n v="34"/>
    <s v="male"/>
    <n v="35.814999999999998"/>
    <n v="0"/>
    <s v="no"/>
    <x v="2"/>
    <n v="4320.4108500000002"/>
  </r>
  <r>
    <n v="43"/>
    <s v="male"/>
    <n v="23.2"/>
    <n v="0"/>
    <s v="no"/>
    <x v="0"/>
    <n v="6250.4350000000004"/>
  </r>
  <r>
    <n v="50"/>
    <s v="male"/>
    <n v="32.11"/>
    <n v="2"/>
    <s v="no"/>
    <x v="3"/>
    <n v="25333.332839999999"/>
  </r>
  <r>
    <n v="19"/>
    <s v="female"/>
    <n v="23.4"/>
    <n v="2"/>
    <s v="no"/>
    <x v="0"/>
    <n v="2913.569"/>
  </r>
  <r>
    <n v="57"/>
    <s v="female"/>
    <n v="20.100000000000001"/>
    <n v="1"/>
    <s v="no"/>
    <x v="0"/>
    <n v="12032.325999999999"/>
  </r>
  <r>
    <n v="62"/>
    <s v="female"/>
    <n v="39.159999999999997"/>
    <n v="0"/>
    <s v="no"/>
    <x v="1"/>
    <n v="13470.804400000001"/>
  </r>
  <r>
    <n v="41"/>
    <s v="male"/>
    <n v="34.21"/>
    <n v="1"/>
    <s v="no"/>
    <x v="1"/>
    <n v="6289.7548999999999"/>
  </r>
  <r>
    <n v="26"/>
    <s v="male"/>
    <n v="46.53"/>
    <n v="1"/>
    <s v="no"/>
    <x v="1"/>
    <n v="2927.0646999999999"/>
  </r>
  <r>
    <n v="39"/>
    <s v="female"/>
    <n v="32.5"/>
    <n v="1"/>
    <s v="no"/>
    <x v="0"/>
    <n v="6238.2979999999998"/>
  </r>
  <r>
    <n v="46"/>
    <s v="male"/>
    <n v="25.8"/>
    <n v="5"/>
    <s v="no"/>
    <x v="0"/>
    <n v="10096.969999999999"/>
  </r>
  <r>
    <n v="45"/>
    <s v="female"/>
    <n v="35.299999999999997"/>
    <n v="0"/>
    <s v="no"/>
    <x v="0"/>
    <n v="7348.1419999999998"/>
  </r>
  <r>
    <n v="32"/>
    <s v="male"/>
    <n v="37.18"/>
    <n v="2"/>
    <s v="no"/>
    <x v="1"/>
    <n v="4673.3922000000002"/>
  </r>
  <r>
    <n v="59"/>
    <s v="female"/>
    <n v="27.5"/>
    <n v="0"/>
    <s v="no"/>
    <x v="0"/>
    <n v="12233.828"/>
  </r>
  <r>
    <n v="44"/>
    <s v="male"/>
    <n v="29.734999999999999"/>
    <n v="2"/>
    <s v="no"/>
    <x v="3"/>
    <n v="32108.662820000001"/>
  </r>
  <r>
    <n v="39"/>
    <s v="female"/>
    <n v="24.225000000000001"/>
    <n v="5"/>
    <s v="no"/>
    <x v="2"/>
    <n v="8965.7957499999993"/>
  </r>
  <r>
    <n v="18"/>
    <s v="male"/>
    <n v="26.18"/>
    <n v="2"/>
    <s v="no"/>
    <x v="1"/>
    <n v="2304.0021999999999"/>
  </r>
  <r>
    <n v="53"/>
    <s v="male"/>
    <n v="29.48"/>
    <n v="0"/>
    <s v="no"/>
    <x v="1"/>
    <n v="9487.6442000000006"/>
  </r>
  <r>
    <n v="18"/>
    <s v="male"/>
    <n v="23.21"/>
    <n v="0"/>
    <s v="no"/>
    <x v="1"/>
    <n v="1121.8739"/>
  </r>
  <r>
    <n v="50"/>
    <s v="female"/>
    <n v="46.09"/>
    <n v="1"/>
    <s v="no"/>
    <x v="1"/>
    <n v="9549.5650999999998"/>
  </r>
  <r>
    <n v="18"/>
    <s v="female"/>
    <n v="40.185000000000002"/>
    <n v="0"/>
    <s v="no"/>
    <x v="3"/>
    <n v="2217.4691499999999"/>
  </r>
  <r>
    <n v="19"/>
    <s v="male"/>
    <n v="22.61"/>
    <n v="0"/>
    <s v="no"/>
    <x v="2"/>
    <n v="1628.4709"/>
  </r>
  <r>
    <n v="62"/>
    <s v="male"/>
    <n v="39.93"/>
    <n v="0"/>
    <s v="no"/>
    <x v="1"/>
    <n v="12982.8747"/>
  </r>
  <r>
    <n v="56"/>
    <s v="female"/>
    <n v="35.799999999999997"/>
    <n v="1"/>
    <s v="no"/>
    <x v="0"/>
    <n v="11674.13"/>
  </r>
  <r>
    <n v="42"/>
    <s v="male"/>
    <n v="35.799999999999997"/>
    <n v="2"/>
    <s v="no"/>
    <x v="0"/>
    <n v="7160.0940000000001"/>
  </r>
  <r>
    <n v="37"/>
    <s v="male"/>
    <n v="34.200000000000003"/>
    <n v="1"/>
    <s v="yes"/>
    <x v="3"/>
    <n v="39047.285000000003"/>
  </r>
  <r>
    <n v="42"/>
    <s v="male"/>
    <n v="31.254999999999999"/>
    <n v="0"/>
    <s v="no"/>
    <x v="2"/>
    <n v="6358.7764500000003"/>
  </r>
  <r>
    <n v="25"/>
    <s v="male"/>
    <n v="29.7"/>
    <n v="3"/>
    <s v="yes"/>
    <x v="0"/>
    <n v="19933.457999999999"/>
  </r>
  <r>
    <n v="57"/>
    <s v="male"/>
    <n v="18.335000000000001"/>
    <n v="0"/>
    <s v="no"/>
    <x v="3"/>
    <n v="11534.872649999999"/>
  </r>
  <r>
    <n v="51"/>
    <s v="male"/>
    <n v="42.9"/>
    <n v="2"/>
    <s v="yes"/>
    <x v="1"/>
    <n v="47462.894"/>
  </r>
  <r>
    <n v="30"/>
    <s v="female"/>
    <n v="28.405000000000001"/>
    <n v="1"/>
    <s v="no"/>
    <x v="2"/>
    <n v="4527.1829500000003"/>
  </r>
  <r>
    <n v="44"/>
    <s v="male"/>
    <n v="30.2"/>
    <n v="2"/>
    <s v="yes"/>
    <x v="0"/>
    <n v="38998.546000000002"/>
  </r>
  <r>
    <n v="34"/>
    <s v="male"/>
    <n v="27.835000000000001"/>
    <n v="1"/>
    <s v="yes"/>
    <x v="2"/>
    <n v="20009.63365"/>
  </r>
  <r>
    <n v="31"/>
    <s v="male"/>
    <n v="39.49"/>
    <n v="1"/>
    <s v="no"/>
    <x v="1"/>
    <n v="3875.7341000000001"/>
  </r>
  <r>
    <n v="54"/>
    <s v="male"/>
    <n v="30.8"/>
    <n v="1"/>
    <s v="yes"/>
    <x v="1"/>
    <n v="41999.519999999997"/>
  </r>
  <r>
    <n v="24"/>
    <s v="male"/>
    <n v="26.79"/>
    <n v="1"/>
    <s v="no"/>
    <x v="2"/>
    <n v="12609.88702"/>
  </r>
  <r>
    <n v="43"/>
    <s v="male"/>
    <n v="34.96"/>
    <n v="1"/>
    <s v="yes"/>
    <x v="3"/>
    <n v="41034.221400000002"/>
  </r>
  <r>
    <n v="48"/>
    <s v="male"/>
    <n v="36.67"/>
    <n v="1"/>
    <s v="no"/>
    <x v="2"/>
    <n v="28468.919010000001"/>
  </r>
  <r>
    <n v="19"/>
    <s v="female"/>
    <n v="39.615000000000002"/>
    <n v="1"/>
    <s v="no"/>
    <x v="2"/>
    <n v="2730.1078499999999"/>
  </r>
  <r>
    <n v="29"/>
    <s v="female"/>
    <n v="25.9"/>
    <n v="0"/>
    <s v="no"/>
    <x v="0"/>
    <n v="3353.2840000000001"/>
  </r>
  <r>
    <n v="63"/>
    <s v="female"/>
    <n v="35.200000000000003"/>
    <n v="1"/>
    <s v="no"/>
    <x v="1"/>
    <n v="14474.674999999999"/>
  </r>
  <r>
    <n v="46"/>
    <s v="male"/>
    <n v="24.795000000000002"/>
    <n v="3"/>
    <s v="no"/>
    <x v="3"/>
    <n v="9500.5730500000009"/>
  </r>
  <r>
    <n v="52"/>
    <s v="male"/>
    <n v="36.765000000000001"/>
    <n v="2"/>
    <s v="no"/>
    <x v="2"/>
    <n v="26467.09737"/>
  </r>
  <r>
    <n v="35"/>
    <s v="male"/>
    <n v="27.1"/>
    <n v="1"/>
    <s v="no"/>
    <x v="0"/>
    <n v="4746.3440000000001"/>
  </r>
  <r>
    <n v="51"/>
    <s v="male"/>
    <n v="24.795000000000002"/>
    <n v="2"/>
    <s v="yes"/>
    <x v="2"/>
    <n v="23967.38305"/>
  </r>
  <r>
    <n v="44"/>
    <s v="male"/>
    <n v="25.364999999999998"/>
    <n v="1"/>
    <s v="no"/>
    <x v="2"/>
    <n v="7518.0253499999999"/>
  </r>
  <r>
    <n v="21"/>
    <s v="male"/>
    <n v="25.745000000000001"/>
    <n v="2"/>
    <s v="no"/>
    <x v="3"/>
    <n v="3279.8685500000001"/>
  </r>
  <r>
    <n v="39"/>
    <s v="female"/>
    <n v="34.32"/>
    <n v="5"/>
    <s v="no"/>
    <x v="1"/>
    <n v="8596.8277999999991"/>
  </r>
  <r>
    <n v="50"/>
    <s v="female"/>
    <n v="28.16"/>
    <n v="3"/>
    <s v="no"/>
    <x v="1"/>
    <n v="10702.642400000001"/>
  </r>
  <r>
    <n v="34"/>
    <s v="female"/>
    <n v="23.56"/>
    <n v="0"/>
    <s v="no"/>
    <x v="3"/>
    <n v="4992.3764000000001"/>
  </r>
  <r>
    <n v="22"/>
    <s v="female"/>
    <n v="20.234999999999999"/>
    <n v="0"/>
    <s v="no"/>
    <x v="2"/>
    <n v="2527.8186500000002"/>
  </r>
  <r>
    <n v="19"/>
    <s v="female"/>
    <n v="40.5"/>
    <n v="0"/>
    <s v="no"/>
    <x v="0"/>
    <n v="1759.338"/>
  </r>
  <r>
    <n v="26"/>
    <s v="male"/>
    <n v="35.42"/>
    <n v="0"/>
    <s v="no"/>
    <x v="1"/>
    <n v="2322.6217999999999"/>
  </r>
  <r>
    <n v="29"/>
    <s v="male"/>
    <n v="22.895"/>
    <n v="0"/>
    <s v="yes"/>
    <x v="3"/>
    <n v="16138.762049999999"/>
  </r>
  <r>
    <n v="48"/>
    <s v="male"/>
    <n v="40.15"/>
    <n v="0"/>
    <s v="no"/>
    <x v="1"/>
    <n v="7804.1605"/>
  </r>
  <r>
    <n v="26"/>
    <s v="male"/>
    <n v="29.15"/>
    <n v="1"/>
    <s v="no"/>
    <x v="1"/>
    <n v="2902.9065000000001"/>
  </r>
  <r>
    <n v="45"/>
    <s v="female"/>
    <n v="39.994999999999997"/>
    <n v="3"/>
    <s v="no"/>
    <x v="3"/>
    <n v="9704.6680500000002"/>
  </r>
  <r>
    <n v="36"/>
    <s v="female"/>
    <n v="29.92"/>
    <n v="0"/>
    <s v="no"/>
    <x v="1"/>
    <n v="4889.0367999999999"/>
  </r>
  <r>
    <n v="54"/>
    <s v="male"/>
    <n v="25.46"/>
    <n v="1"/>
    <s v="no"/>
    <x v="3"/>
    <n v="25517.11363"/>
  </r>
  <r>
    <n v="34"/>
    <s v="male"/>
    <n v="21.375"/>
    <n v="0"/>
    <s v="no"/>
    <x v="3"/>
    <n v="4500.33925"/>
  </r>
  <r>
    <n v="31"/>
    <s v="male"/>
    <n v="25.9"/>
    <n v="3"/>
    <s v="yes"/>
    <x v="0"/>
    <n v="19199.944"/>
  </r>
  <r>
    <n v="27"/>
    <s v="female"/>
    <n v="30.59"/>
    <n v="1"/>
    <s v="no"/>
    <x v="3"/>
    <n v="16796.411940000002"/>
  </r>
  <r>
    <n v="20"/>
    <s v="male"/>
    <n v="30.114999999999998"/>
    <n v="5"/>
    <s v="no"/>
    <x v="3"/>
    <n v="4915.0598499999996"/>
  </r>
  <r>
    <n v="44"/>
    <s v="female"/>
    <n v="25.8"/>
    <n v="1"/>
    <s v="no"/>
    <x v="0"/>
    <n v="7624.63"/>
  </r>
  <r>
    <n v="43"/>
    <s v="male"/>
    <n v="30.114999999999998"/>
    <n v="3"/>
    <s v="no"/>
    <x v="2"/>
    <n v="8410.0468500000006"/>
  </r>
  <r>
    <n v="45"/>
    <s v="female"/>
    <n v="27.645"/>
    <n v="1"/>
    <s v="no"/>
    <x v="2"/>
    <n v="28340.188849999999"/>
  </r>
  <r>
    <n v="34"/>
    <s v="male"/>
    <n v="34.674999999999997"/>
    <n v="0"/>
    <s v="no"/>
    <x v="3"/>
    <n v="4518.8262500000001"/>
  </r>
  <r>
    <n v="24"/>
    <s v="female"/>
    <n v="20.52"/>
    <n v="0"/>
    <s v="yes"/>
    <x v="3"/>
    <n v="14571.890799999999"/>
  </r>
  <r>
    <n v="26"/>
    <s v="female"/>
    <n v="19.8"/>
    <n v="1"/>
    <s v="no"/>
    <x v="0"/>
    <n v="3378.91"/>
  </r>
  <r>
    <n v="38"/>
    <s v="female"/>
    <n v="27.835000000000001"/>
    <n v="2"/>
    <s v="no"/>
    <x v="3"/>
    <n v="7144.86265"/>
  </r>
  <r>
    <n v="50"/>
    <s v="female"/>
    <n v="31.6"/>
    <n v="2"/>
    <s v="no"/>
    <x v="0"/>
    <n v="10118.424000000001"/>
  </r>
  <r>
    <n v="38"/>
    <s v="male"/>
    <n v="28.27"/>
    <n v="1"/>
    <s v="no"/>
    <x v="1"/>
    <n v="5484.4673000000003"/>
  </r>
  <r>
    <n v="27"/>
    <s v="female"/>
    <n v="20.045000000000002"/>
    <n v="3"/>
    <s v="yes"/>
    <x v="2"/>
    <n v="16420.494549999999"/>
  </r>
  <r>
    <n v="39"/>
    <s v="female"/>
    <n v="23.274999999999999"/>
    <n v="3"/>
    <s v="no"/>
    <x v="3"/>
    <n v="7986.4752500000004"/>
  </r>
  <r>
    <n v="39"/>
    <s v="female"/>
    <n v="34.1"/>
    <n v="3"/>
    <s v="no"/>
    <x v="0"/>
    <n v="7418.5219999999999"/>
  </r>
  <r>
    <n v="63"/>
    <s v="female"/>
    <n v="36.85"/>
    <n v="0"/>
    <s v="no"/>
    <x v="1"/>
    <n v="13887.968500000001"/>
  </r>
  <r>
    <n v="33"/>
    <s v="female"/>
    <n v="36.29"/>
    <n v="3"/>
    <s v="no"/>
    <x v="3"/>
    <n v="6551.7501000000002"/>
  </r>
  <r>
    <n v="36"/>
    <s v="female"/>
    <n v="26.885000000000002"/>
    <n v="0"/>
    <s v="no"/>
    <x v="2"/>
    <n v="5267.8181500000001"/>
  </r>
  <r>
    <n v="30"/>
    <s v="male"/>
    <n v="22.99"/>
    <n v="2"/>
    <s v="yes"/>
    <x v="2"/>
    <n v="17361.766100000001"/>
  </r>
  <r>
    <n v="24"/>
    <s v="male"/>
    <n v="32.700000000000003"/>
    <n v="0"/>
    <s v="yes"/>
    <x v="0"/>
    <n v="34472.841"/>
  </r>
  <r>
    <n v="24"/>
    <s v="male"/>
    <n v="25.8"/>
    <n v="0"/>
    <s v="no"/>
    <x v="0"/>
    <n v="1972.95"/>
  </r>
  <r>
    <n v="48"/>
    <s v="male"/>
    <n v="29.6"/>
    <n v="0"/>
    <s v="no"/>
    <x v="0"/>
    <n v="21232.182260000001"/>
  </r>
  <r>
    <n v="47"/>
    <s v="male"/>
    <n v="19.190000000000001"/>
    <n v="1"/>
    <s v="no"/>
    <x v="3"/>
    <n v="8627.5411000000004"/>
  </r>
  <r>
    <n v="29"/>
    <s v="male"/>
    <n v="31.73"/>
    <n v="2"/>
    <s v="no"/>
    <x v="2"/>
    <n v="4433.3877000000002"/>
  </r>
  <r>
    <n v="28"/>
    <s v="male"/>
    <n v="29.26"/>
    <n v="2"/>
    <s v="no"/>
    <x v="3"/>
    <n v="4438.2633999999998"/>
  </r>
  <r>
    <n v="47"/>
    <s v="male"/>
    <n v="28.215"/>
    <n v="3"/>
    <s v="yes"/>
    <x v="2"/>
    <n v="24915.220850000002"/>
  </r>
  <r>
    <n v="25"/>
    <s v="male"/>
    <n v="24.984999999999999"/>
    <n v="2"/>
    <s v="no"/>
    <x v="3"/>
    <n v="23241.47453"/>
  </r>
  <r>
    <n v="51"/>
    <s v="male"/>
    <n v="27.74"/>
    <n v="1"/>
    <s v="no"/>
    <x v="3"/>
    <n v="9957.7216000000008"/>
  </r>
  <r>
    <n v="48"/>
    <s v="female"/>
    <n v="22.8"/>
    <n v="0"/>
    <s v="no"/>
    <x v="0"/>
    <n v="8269.0439999999999"/>
  </r>
  <r>
    <n v="43"/>
    <s v="male"/>
    <n v="20.13"/>
    <n v="2"/>
    <s v="yes"/>
    <x v="1"/>
    <n v="18767.737700000001"/>
  </r>
  <r>
    <n v="61"/>
    <s v="female"/>
    <n v="33.33"/>
    <n v="4"/>
    <s v="no"/>
    <x v="1"/>
    <n v="36580.282160000002"/>
  </r>
  <r>
    <n v="48"/>
    <s v="male"/>
    <n v="32.299999999999997"/>
    <n v="1"/>
    <s v="no"/>
    <x v="2"/>
    <n v="8765.2489999999998"/>
  </r>
  <r>
    <n v="38"/>
    <s v="female"/>
    <n v="27.6"/>
    <n v="0"/>
    <s v="no"/>
    <x v="0"/>
    <n v="5383.5360000000001"/>
  </r>
  <r>
    <n v="59"/>
    <s v="male"/>
    <n v="25.46"/>
    <n v="0"/>
    <s v="no"/>
    <x v="2"/>
    <n v="12124.992399999999"/>
  </r>
  <r>
    <n v="19"/>
    <s v="female"/>
    <n v="24.605"/>
    <n v="1"/>
    <s v="no"/>
    <x v="2"/>
    <n v="2709.24395"/>
  </r>
  <r>
    <n v="26"/>
    <s v="female"/>
    <n v="34.200000000000003"/>
    <n v="2"/>
    <s v="no"/>
    <x v="0"/>
    <n v="3987.9259999999999"/>
  </r>
  <r>
    <n v="54"/>
    <s v="female"/>
    <n v="35.814999999999998"/>
    <n v="3"/>
    <s v="no"/>
    <x v="2"/>
    <n v="12495.290849999999"/>
  </r>
  <r>
    <n v="21"/>
    <s v="female"/>
    <n v="32.68"/>
    <n v="2"/>
    <s v="no"/>
    <x v="2"/>
    <n v="26018.950519999999"/>
  </r>
  <r>
    <n v="51"/>
    <s v="male"/>
    <n v="37"/>
    <n v="0"/>
    <s v="no"/>
    <x v="0"/>
    <n v="8798.5930000000008"/>
  </r>
  <r>
    <n v="22"/>
    <s v="female"/>
    <n v="31.02"/>
    <n v="3"/>
    <s v="yes"/>
    <x v="1"/>
    <n v="35595.589800000002"/>
  </r>
  <r>
    <n v="47"/>
    <s v="male"/>
    <n v="36.08"/>
    <n v="1"/>
    <s v="yes"/>
    <x v="1"/>
    <n v="42211.138200000001"/>
  </r>
  <r>
    <n v="18"/>
    <s v="male"/>
    <n v="23.32"/>
    <n v="1"/>
    <s v="no"/>
    <x v="1"/>
    <n v="1711.0268000000001"/>
  </r>
  <r>
    <n v="47"/>
    <s v="female"/>
    <n v="45.32"/>
    <n v="1"/>
    <s v="no"/>
    <x v="1"/>
    <n v="8569.8618000000006"/>
  </r>
  <r>
    <n v="21"/>
    <s v="female"/>
    <n v="34.6"/>
    <n v="0"/>
    <s v="no"/>
    <x v="0"/>
    <n v="2020.1769999999999"/>
  </r>
  <r>
    <n v="19"/>
    <s v="male"/>
    <n v="26.03"/>
    <n v="1"/>
    <s v="yes"/>
    <x v="2"/>
    <n v="16450.894700000001"/>
  </r>
  <r>
    <n v="23"/>
    <s v="male"/>
    <n v="18.715"/>
    <n v="0"/>
    <s v="no"/>
    <x v="2"/>
    <n v="21595.382290000001"/>
  </r>
  <r>
    <n v="54"/>
    <s v="male"/>
    <n v="31.6"/>
    <n v="0"/>
    <s v="no"/>
    <x v="0"/>
    <n v="9850.4320000000007"/>
  </r>
  <r>
    <n v="37"/>
    <s v="female"/>
    <n v="17.29"/>
    <n v="2"/>
    <s v="no"/>
    <x v="3"/>
    <n v="6877.9800999999998"/>
  </r>
  <r>
    <n v="46"/>
    <s v="female"/>
    <n v="23.655000000000001"/>
    <n v="1"/>
    <s v="yes"/>
    <x v="2"/>
    <n v="21677.283449999999"/>
  </r>
  <r>
    <n v="55"/>
    <s v="female"/>
    <n v="35.200000000000003"/>
    <n v="0"/>
    <s v="yes"/>
    <x v="1"/>
    <n v="44423.803"/>
  </r>
  <r>
    <n v="30"/>
    <s v="female"/>
    <n v="27.93"/>
    <n v="0"/>
    <s v="no"/>
    <x v="3"/>
    <n v="4137.5227000000004"/>
  </r>
  <r>
    <n v="18"/>
    <s v="male"/>
    <n v="21.565000000000001"/>
    <n v="0"/>
    <s v="yes"/>
    <x v="3"/>
    <n v="13747.87235"/>
  </r>
  <r>
    <n v="61"/>
    <s v="male"/>
    <n v="38.380000000000003"/>
    <n v="0"/>
    <s v="no"/>
    <x v="2"/>
    <n v="12950.0712"/>
  </r>
  <r>
    <n v="54"/>
    <s v="female"/>
    <n v="23"/>
    <n v="3"/>
    <s v="no"/>
    <x v="0"/>
    <n v="12094.477999999999"/>
  </r>
  <r>
    <n v="22"/>
    <s v="male"/>
    <n v="37.07"/>
    <n v="2"/>
    <s v="yes"/>
    <x v="1"/>
    <n v="37484.4493"/>
  </r>
  <r>
    <n v="45"/>
    <s v="female"/>
    <n v="30.495000000000001"/>
    <n v="1"/>
    <s v="yes"/>
    <x v="2"/>
    <n v="39725.518049999999"/>
  </r>
  <r>
    <n v="22"/>
    <s v="male"/>
    <n v="28.88"/>
    <n v="0"/>
    <s v="no"/>
    <x v="3"/>
    <n v="2250.8352"/>
  </r>
  <r>
    <n v="19"/>
    <s v="male"/>
    <n v="27.265000000000001"/>
    <n v="2"/>
    <s v="no"/>
    <x v="2"/>
    <n v="22493.659640000002"/>
  </r>
  <r>
    <n v="35"/>
    <s v="female"/>
    <n v="28.024999999999999"/>
    <n v="0"/>
    <s v="yes"/>
    <x v="2"/>
    <n v="20234.854749999999"/>
  </r>
  <r>
    <n v="18"/>
    <s v="male"/>
    <n v="23.085000000000001"/>
    <n v="0"/>
    <s v="no"/>
    <x v="3"/>
    <n v="1704.7001499999999"/>
  </r>
  <r>
    <n v="20"/>
    <s v="male"/>
    <n v="30.684999999999999"/>
    <n v="0"/>
    <s v="yes"/>
    <x v="3"/>
    <n v="33475.817150000003"/>
  </r>
  <r>
    <n v="28"/>
    <s v="female"/>
    <n v="25.8"/>
    <n v="0"/>
    <s v="no"/>
    <x v="0"/>
    <n v="3161.4540000000002"/>
  </r>
  <r>
    <n v="55"/>
    <s v="male"/>
    <n v="35.244999999999997"/>
    <n v="1"/>
    <s v="no"/>
    <x v="3"/>
    <n v="11394.065549999999"/>
  </r>
  <r>
    <n v="43"/>
    <s v="female"/>
    <n v="24.7"/>
    <n v="2"/>
    <s v="yes"/>
    <x v="2"/>
    <n v="21880.82"/>
  </r>
  <r>
    <n v="43"/>
    <s v="female"/>
    <n v="25.08"/>
    <n v="0"/>
    <s v="no"/>
    <x v="3"/>
    <n v="7325.0482000000002"/>
  </r>
  <r>
    <n v="22"/>
    <s v="male"/>
    <n v="52.58"/>
    <n v="1"/>
    <s v="yes"/>
    <x v="1"/>
    <n v="44501.398200000003"/>
  </r>
  <r>
    <n v="25"/>
    <s v="female"/>
    <n v="22.515000000000001"/>
    <n v="1"/>
    <s v="no"/>
    <x v="2"/>
    <n v="3594.17085"/>
  </r>
  <r>
    <n v="49"/>
    <s v="male"/>
    <n v="30.9"/>
    <n v="0"/>
    <s v="yes"/>
    <x v="0"/>
    <n v="39727.614000000001"/>
  </r>
  <r>
    <n v="44"/>
    <s v="female"/>
    <n v="36.954999999999998"/>
    <n v="1"/>
    <s v="no"/>
    <x v="2"/>
    <n v="8023.1354499999998"/>
  </r>
  <r>
    <n v="64"/>
    <s v="male"/>
    <n v="26.41"/>
    <n v="0"/>
    <s v="no"/>
    <x v="3"/>
    <n v="14394.5579"/>
  </r>
  <r>
    <n v="49"/>
    <s v="male"/>
    <n v="29.83"/>
    <n v="1"/>
    <s v="no"/>
    <x v="3"/>
    <n v="9288.0267000000003"/>
  </r>
  <r>
    <n v="47"/>
    <s v="male"/>
    <n v="29.8"/>
    <n v="3"/>
    <s v="yes"/>
    <x v="0"/>
    <n v="25309.489000000001"/>
  </r>
  <r>
    <n v="27"/>
    <s v="female"/>
    <n v="21.47"/>
    <n v="0"/>
    <s v="no"/>
    <x v="2"/>
    <n v="3353.4703"/>
  </r>
  <r>
    <n v="55"/>
    <s v="male"/>
    <n v="27.645"/>
    <n v="0"/>
    <s v="no"/>
    <x v="2"/>
    <n v="10594.501550000001"/>
  </r>
  <r>
    <n v="48"/>
    <s v="female"/>
    <n v="28.9"/>
    <n v="0"/>
    <s v="no"/>
    <x v="0"/>
    <n v="8277.5229999999992"/>
  </r>
  <r>
    <n v="45"/>
    <s v="female"/>
    <n v="31.79"/>
    <n v="0"/>
    <s v="no"/>
    <x v="1"/>
    <n v="17929.303370000001"/>
  </r>
  <r>
    <n v="24"/>
    <s v="female"/>
    <n v="39.49"/>
    <n v="0"/>
    <s v="no"/>
    <x v="1"/>
    <n v="2480.9791"/>
  </r>
  <r>
    <n v="32"/>
    <s v="male"/>
    <n v="33.82"/>
    <n v="1"/>
    <s v="no"/>
    <x v="2"/>
    <n v="4462.7218000000003"/>
  </r>
  <r>
    <n v="24"/>
    <s v="male"/>
    <n v="32.01"/>
    <n v="0"/>
    <s v="no"/>
    <x v="1"/>
    <n v="1981.5818999999999"/>
  </r>
  <r>
    <n v="57"/>
    <s v="male"/>
    <n v="27.94"/>
    <n v="1"/>
    <s v="no"/>
    <x v="1"/>
    <n v="11554.223599999999"/>
  </r>
  <r>
    <n v="59"/>
    <s v="male"/>
    <n v="41.14"/>
    <n v="1"/>
    <s v="yes"/>
    <x v="1"/>
    <n v="48970.247600000002"/>
  </r>
  <r>
    <n v="36"/>
    <s v="male"/>
    <n v="28.594999999999999"/>
    <n v="3"/>
    <s v="no"/>
    <x v="2"/>
    <n v="6548.1950500000003"/>
  </r>
  <r>
    <n v="29"/>
    <s v="female"/>
    <n v="25.6"/>
    <n v="4"/>
    <s v="no"/>
    <x v="0"/>
    <n v="5708.8670000000002"/>
  </r>
  <r>
    <n v="42"/>
    <s v="female"/>
    <n v="25.3"/>
    <n v="1"/>
    <s v="no"/>
    <x v="0"/>
    <n v="7045.4989999999998"/>
  </r>
  <r>
    <n v="48"/>
    <s v="male"/>
    <n v="37.29"/>
    <n v="2"/>
    <s v="no"/>
    <x v="1"/>
    <n v="8978.1851000000006"/>
  </r>
  <r>
    <n v="39"/>
    <s v="male"/>
    <n v="42.655000000000001"/>
    <n v="0"/>
    <s v="no"/>
    <x v="3"/>
    <n v="5757.41345"/>
  </r>
  <r>
    <n v="63"/>
    <s v="male"/>
    <n v="21.66"/>
    <n v="1"/>
    <s v="no"/>
    <x v="2"/>
    <n v="14349.8544"/>
  </r>
  <r>
    <n v="54"/>
    <s v="female"/>
    <n v="31.9"/>
    <n v="1"/>
    <s v="no"/>
    <x v="1"/>
    <n v="10928.849"/>
  </r>
  <r>
    <n v="37"/>
    <s v="male"/>
    <n v="37.07"/>
    <n v="1"/>
    <s v="yes"/>
    <x v="1"/>
    <n v="39871.704299999998"/>
  </r>
  <r>
    <n v="63"/>
    <s v="male"/>
    <n v="31.445"/>
    <n v="0"/>
    <s v="no"/>
    <x v="3"/>
    <n v="13974.455550000001"/>
  </r>
  <r>
    <n v="21"/>
    <s v="male"/>
    <n v="31.254999999999999"/>
    <n v="0"/>
    <s v="no"/>
    <x v="2"/>
    <n v="1909.52745"/>
  </r>
  <r>
    <n v="54"/>
    <s v="female"/>
    <n v="28.88"/>
    <n v="2"/>
    <s v="no"/>
    <x v="3"/>
    <n v="12096.6512"/>
  </r>
  <r>
    <n v="60"/>
    <s v="female"/>
    <n v="18.335000000000001"/>
    <n v="0"/>
    <s v="no"/>
    <x v="3"/>
    <n v="13204.28565"/>
  </r>
  <r>
    <n v="32"/>
    <s v="female"/>
    <n v="29.59"/>
    <n v="1"/>
    <s v="no"/>
    <x v="1"/>
    <n v="4562.8420999999998"/>
  </r>
  <r>
    <n v="47"/>
    <s v="female"/>
    <n v="32"/>
    <n v="1"/>
    <s v="no"/>
    <x v="0"/>
    <n v="8551.3469999999998"/>
  </r>
  <r>
    <n v="21"/>
    <s v="male"/>
    <n v="26.03"/>
    <n v="0"/>
    <s v="no"/>
    <x v="3"/>
    <n v="2102.2647000000002"/>
  </r>
  <r>
    <n v="28"/>
    <s v="male"/>
    <n v="31.68"/>
    <n v="0"/>
    <s v="yes"/>
    <x v="1"/>
    <n v="34672.147199999999"/>
  </r>
  <r>
    <n v="63"/>
    <s v="male"/>
    <n v="33.659999999999997"/>
    <n v="3"/>
    <s v="no"/>
    <x v="1"/>
    <n v="15161.5344"/>
  </r>
  <r>
    <n v="18"/>
    <s v="male"/>
    <n v="21.78"/>
    <n v="2"/>
    <s v="no"/>
    <x v="1"/>
    <n v="11884.048580000001"/>
  </r>
  <r>
    <n v="32"/>
    <s v="male"/>
    <n v="27.835000000000001"/>
    <n v="1"/>
    <s v="no"/>
    <x v="2"/>
    <n v="4454.40265"/>
  </r>
  <r>
    <n v="38"/>
    <s v="male"/>
    <n v="19.95"/>
    <n v="1"/>
    <s v="no"/>
    <x v="2"/>
    <n v="5855.9025000000001"/>
  </r>
  <r>
    <n v="32"/>
    <s v="male"/>
    <n v="31.5"/>
    <n v="1"/>
    <s v="no"/>
    <x v="0"/>
    <n v="4076.4969999999998"/>
  </r>
  <r>
    <n v="62"/>
    <s v="female"/>
    <n v="30.495000000000001"/>
    <n v="2"/>
    <s v="no"/>
    <x v="2"/>
    <n v="15019.760050000001"/>
  </r>
  <r>
    <n v="39"/>
    <s v="female"/>
    <n v="18.3"/>
    <n v="5"/>
    <s v="yes"/>
    <x v="0"/>
    <n v="19023.259999999998"/>
  </r>
  <r>
    <n v="55"/>
    <s v="male"/>
    <n v="28.975000000000001"/>
    <n v="0"/>
    <s v="no"/>
    <x v="3"/>
    <n v="10796.35025"/>
  </r>
  <r>
    <n v="57"/>
    <s v="male"/>
    <n v="31.54"/>
    <n v="0"/>
    <s v="no"/>
    <x v="2"/>
    <n v="11353.2276"/>
  </r>
  <r>
    <n v="52"/>
    <s v="male"/>
    <n v="47.74"/>
    <n v="1"/>
    <s v="no"/>
    <x v="1"/>
    <n v="9748.9105999999992"/>
  </r>
  <r>
    <n v="56"/>
    <s v="male"/>
    <n v="22.1"/>
    <n v="0"/>
    <s v="no"/>
    <x v="0"/>
    <n v="10577.087"/>
  </r>
  <r>
    <n v="47"/>
    <s v="male"/>
    <n v="36.19"/>
    <n v="0"/>
    <s v="yes"/>
    <x v="1"/>
    <n v="41676.081100000003"/>
  </r>
  <r>
    <n v="55"/>
    <s v="female"/>
    <n v="29.83"/>
    <n v="0"/>
    <s v="no"/>
    <x v="3"/>
    <n v="11286.538699999999"/>
  </r>
  <r>
    <n v="23"/>
    <s v="male"/>
    <n v="32.700000000000003"/>
    <n v="3"/>
    <s v="no"/>
    <x v="0"/>
    <n v="3591.48"/>
  </r>
  <r>
    <n v="22"/>
    <s v="female"/>
    <n v="30.4"/>
    <n v="0"/>
    <s v="yes"/>
    <x v="2"/>
    <n v="33907.548000000003"/>
  </r>
  <r>
    <n v="50"/>
    <s v="female"/>
    <n v="33.700000000000003"/>
    <n v="4"/>
    <s v="no"/>
    <x v="0"/>
    <n v="11299.343000000001"/>
  </r>
  <r>
    <n v="18"/>
    <s v="female"/>
    <n v="31.35"/>
    <n v="4"/>
    <s v="no"/>
    <x v="3"/>
    <n v="4561.1885000000002"/>
  </r>
  <r>
    <n v="51"/>
    <s v="female"/>
    <n v="34.96"/>
    <n v="2"/>
    <s v="yes"/>
    <x v="3"/>
    <n v="44641.197399999997"/>
  </r>
  <r>
    <n v="22"/>
    <s v="male"/>
    <n v="33.770000000000003"/>
    <n v="0"/>
    <s v="no"/>
    <x v="1"/>
    <n v="1674.6323"/>
  </r>
  <r>
    <n v="52"/>
    <s v="female"/>
    <n v="30.875"/>
    <n v="0"/>
    <s v="no"/>
    <x v="3"/>
    <n v="23045.566159999998"/>
  </r>
  <r>
    <n v="25"/>
    <s v="female"/>
    <n v="33.99"/>
    <n v="1"/>
    <s v="no"/>
    <x v="1"/>
    <n v="3227.1210999999998"/>
  </r>
  <r>
    <n v="33"/>
    <s v="female"/>
    <n v="19.094999999999999"/>
    <n v="2"/>
    <s v="yes"/>
    <x v="3"/>
    <n v="16776.304049999999"/>
  </r>
  <r>
    <n v="53"/>
    <s v="male"/>
    <n v="28.6"/>
    <n v="3"/>
    <s v="no"/>
    <x v="0"/>
    <n v="11253.421"/>
  </r>
  <r>
    <n v="29"/>
    <s v="male"/>
    <n v="38.94"/>
    <n v="1"/>
    <s v="no"/>
    <x v="1"/>
    <n v="3471.4096"/>
  </r>
  <r>
    <n v="58"/>
    <s v="male"/>
    <n v="36.08"/>
    <n v="0"/>
    <s v="no"/>
    <x v="1"/>
    <n v="11363.2832"/>
  </r>
  <r>
    <n v="37"/>
    <s v="male"/>
    <n v="29.8"/>
    <n v="0"/>
    <s v="no"/>
    <x v="0"/>
    <n v="20420.604650000001"/>
  </r>
  <r>
    <n v="54"/>
    <s v="female"/>
    <n v="31.24"/>
    <n v="0"/>
    <s v="no"/>
    <x v="1"/>
    <n v="10338.9316"/>
  </r>
  <r>
    <n v="49"/>
    <s v="female"/>
    <n v="29.925000000000001"/>
    <n v="0"/>
    <s v="no"/>
    <x v="2"/>
    <n v="8988.1587500000005"/>
  </r>
  <r>
    <n v="50"/>
    <s v="female"/>
    <n v="26.22"/>
    <n v="2"/>
    <s v="no"/>
    <x v="2"/>
    <n v="10493.9458"/>
  </r>
  <r>
    <n v="26"/>
    <s v="male"/>
    <n v="30"/>
    <n v="1"/>
    <s v="no"/>
    <x v="0"/>
    <n v="2904.0880000000002"/>
  </r>
  <r>
    <n v="45"/>
    <s v="male"/>
    <n v="20.350000000000001"/>
    <n v="3"/>
    <s v="no"/>
    <x v="1"/>
    <n v="8605.3615000000009"/>
  </r>
  <r>
    <n v="54"/>
    <s v="female"/>
    <n v="32.299999999999997"/>
    <n v="1"/>
    <s v="no"/>
    <x v="3"/>
    <n v="11512.405000000001"/>
  </r>
  <r>
    <n v="38"/>
    <s v="male"/>
    <n v="38.39"/>
    <n v="3"/>
    <s v="yes"/>
    <x v="1"/>
    <n v="41949.244100000004"/>
  </r>
  <r>
    <n v="48"/>
    <s v="female"/>
    <n v="25.85"/>
    <n v="3"/>
    <s v="yes"/>
    <x v="1"/>
    <n v="24180.933499999999"/>
  </r>
  <r>
    <n v="28"/>
    <s v="female"/>
    <n v="26.315000000000001"/>
    <n v="3"/>
    <s v="no"/>
    <x v="2"/>
    <n v="5312.1698500000002"/>
  </r>
  <r>
    <n v="23"/>
    <s v="male"/>
    <n v="24.51"/>
    <n v="0"/>
    <s v="no"/>
    <x v="3"/>
    <n v="2396.0958999999998"/>
  </r>
  <r>
    <n v="55"/>
    <s v="male"/>
    <n v="32.67"/>
    <n v="1"/>
    <s v="no"/>
    <x v="1"/>
    <n v="10807.4863"/>
  </r>
  <r>
    <n v="41"/>
    <s v="male"/>
    <n v="29.64"/>
    <n v="5"/>
    <s v="no"/>
    <x v="3"/>
    <n v="9222.4025999999994"/>
  </r>
  <r>
    <n v="25"/>
    <s v="male"/>
    <n v="33.33"/>
    <n v="2"/>
    <s v="yes"/>
    <x v="1"/>
    <n v="36124.573700000001"/>
  </r>
  <r>
    <n v="33"/>
    <s v="male"/>
    <n v="35.75"/>
    <n v="1"/>
    <s v="yes"/>
    <x v="1"/>
    <n v="38282.749499999998"/>
  </r>
  <r>
    <n v="30"/>
    <s v="female"/>
    <n v="19.95"/>
    <n v="3"/>
    <s v="no"/>
    <x v="2"/>
    <n v="5693.4305000000004"/>
  </r>
  <r>
    <n v="23"/>
    <s v="female"/>
    <n v="31.4"/>
    <n v="0"/>
    <s v="yes"/>
    <x v="0"/>
    <n v="34166.273000000001"/>
  </r>
  <r>
    <n v="46"/>
    <s v="male"/>
    <n v="38.17"/>
    <n v="2"/>
    <s v="no"/>
    <x v="1"/>
    <n v="8347.1643000000004"/>
  </r>
  <r>
    <n v="53"/>
    <s v="female"/>
    <n v="36.86"/>
    <n v="3"/>
    <s v="yes"/>
    <x v="2"/>
    <n v="46661.4424"/>
  </r>
  <r>
    <n v="27"/>
    <s v="female"/>
    <n v="32.395000000000003"/>
    <n v="1"/>
    <s v="no"/>
    <x v="3"/>
    <n v="18903.491409999999"/>
  </r>
  <r>
    <n v="23"/>
    <s v="female"/>
    <n v="42.75"/>
    <n v="1"/>
    <s v="yes"/>
    <x v="3"/>
    <n v="40904.199500000002"/>
  </r>
  <r>
    <n v="63"/>
    <s v="female"/>
    <n v="25.08"/>
    <n v="0"/>
    <s v="no"/>
    <x v="2"/>
    <n v="14254.608200000001"/>
  </r>
  <r>
    <n v="55"/>
    <s v="male"/>
    <n v="29.9"/>
    <n v="0"/>
    <s v="no"/>
    <x v="0"/>
    <n v="10214.636"/>
  </r>
  <r>
    <n v="35"/>
    <s v="female"/>
    <n v="35.86"/>
    <n v="2"/>
    <s v="no"/>
    <x v="1"/>
    <n v="5836.5204000000003"/>
  </r>
  <r>
    <n v="34"/>
    <s v="male"/>
    <n v="32.799999999999997"/>
    <n v="1"/>
    <s v="no"/>
    <x v="0"/>
    <n v="14358.364369999999"/>
  </r>
  <r>
    <n v="19"/>
    <s v="female"/>
    <n v="18.600000000000001"/>
    <n v="0"/>
    <s v="no"/>
    <x v="0"/>
    <n v="1728.8969999999999"/>
  </r>
  <r>
    <n v="39"/>
    <s v="female"/>
    <n v="23.87"/>
    <n v="5"/>
    <s v="no"/>
    <x v="1"/>
    <n v="8582.3022999999994"/>
  </r>
  <r>
    <n v="27"/>
    <s v="male"/>
    <n v="45.9"/>
    <n v="2"/>
    <s v="no"/>
    <x v="0"/>
    <n v="3693.4279999999999"/>
  </r>
  <r>
    <n v="57"/>
    <s v="male"/>
    <n v="40.28"/>
    <n v="0"/>
    <s v="no"/>
    <x v="3"/>
    <n v="20709.020339999999"/>
  </r>
  <r>
    <n v="52"/>
    <s v="female"/>
    <n v="18.335000000000001"/>
    <n v="0"/>
    <s v="no"/>
    <x v="2"/>
    <n v="9991.0376500000002"/>
  </r>
  <r>
    <n v="28"/>
    <s v="male"/>
    <n v="33.82"/>
    <n v="0"/>
    <s v="no"/>
    <x v="2"/>
    <n v="19673.335729999999"/>
  </r>
  <r>
    <n v="50"/>
    <s v="female"/>
    <n v="28.12"/>
    <n v="3"/>
    <s v="no"/>
    <x v="2"/>
    <n v="11085.586799999999"/>
  </r>
  <r>
    <n v="44"/>
    <s v="female"/>
    <n v="25"/>
    <n v="1"/>
    <s v="no"/>
    <x v="0"/>
    <n v="7623.518"/>
  </r>
  <r>
    <n v="26"/>
    <s v="female"/>
    <n v="22.23"/>
    <n v="0"/>
    <s v="no"/>
    <x v="2"/>
    <n v="3176.2876999999999"/>
  </r>
  <r>
    <n v="33"/>
    <s v="male"/>
    <n v="30.25"/>
    <n v="0"/>
    <s v="no"/>
    <x v="1"/>
    <n v="3704.3544999999999"/>
  </r>
  <r>
    <n v="19"/>
    <s v="female"/>
    <n v="32.49"/>
    <n v="0"/>
    <s v="yes"/>
    <x v="2"/>
    <n v="36898.733079999998"/>
  </r>
  <r>
    <n v="50"/>
    <s v="male"/>
    <n v="37.07"/>
    <n v="1"/>
    <s v="no"/>
    <x v="1"/>
    <n v="9048.0272999999997"/>
  </r>
  <r>
    <n v="41"/>
    <s v="female"/>
    <n v="32.6"/>
    <n v="3"/>
    <s v="no"/>
    <x v="0"/>
    <n v="7954.5169999999998"/>
  </r>
  <r>
    <n v="52"/>
    <s v="female"/>
    <n v="24.86"/>
    <n v="0"/>
    <s v="no"/>
    <x v="1"/>
    <n v="27117.993780000001"/>
  </r>
  <r>
    <n v="39"/>
    <s v="male"/>
    <n v="32.340000000000003"/>
    <n v="2"/>
    <s v="no"/>
    <x v="1"/>
    <n v="6338.0756000000001"/>
  </r>
  <r>
    <n v="50"/>
    <s v="male"/>
    <n v="32.299999999999997"/>
    <n v="2"/>
    <s v="no"/>
    <x v="0"/>
    <n v="9630.3970000000008"/>
  </r>
  <r>
    <n v="52"/>
    <s v="male"/>
    <n v="32.774999999999999"/>
    <n v="3"/>
    <s v="no"/>
    <x v="2"/>
    <n v="11289.10925"/>
  </r>
  <r>
    <n v="60"/>
    <s v="male"/>
    <n v="32.799999999999997"/>
    <n v="0"/>
    <s v="yes"/>
    <x v="0"/>
    <n v="52590.829389999999"/>
  </r>
  <r>
    <n v="20"/>
    <s v="female"/>
    <n v="31.92"/>
    <n v="0"/>
    <s v="no"/>
    <x v="2"/>
    <n v="2261.5688"/>
  </r>
  <r>
    <n v="55"/>
    <s v="male"/>
    <n v="21.5"/>
    <n v="1"/>
    <s v="no"/>
    <x v="0"/>
    <n v="10791.96"/>
  </r>
  <r>
    <n v="42"/>
    <s v="male"/>
    <n v="34.1"/>
    <n v="0"/>
    <s v="no"/>
    <x v="0"/>
    <n v="5979.7309999999998"/>
  </r>
  <r>
    <n v="18"/>
    <s v="female"/>
    <n v="30.305"/>
    <n v="0"/>
    <s v="no"/>
    <x v="3"/>
    <n v="2203.7359499999998"/>
  </r>
  <r>
    <n v="58"/>
    <s v="female"/>
    <n v="36.479999999999997"/>
    <n v="0"/>
    <s v="no"/>
    <x v="2"/>
    <n v="12235.8392"/>
  </r>
  <r>
    <n v="43"/>
    <s v="female"/>
    <n v="32.56"/>
    <n v="3"/>
    <s v="yes"/>
    <x v="1"/>
    <n v="40941.285400000001"/>
  </r>
  <r>
    <n v="35"/>
    <s v="female"/>
    <n v="35.814999999999998"/>
    <n v="1"/>
    <s v="no"/>
    <x v="2"/>
    <n v="5630.4578499999998"/>
  </r>
  <r>
    <n v="48"/>
    <s v="female"/>
    <n v="27.93"/>
    <n v="4"/>
    <s v="no"/>
    <x v="2"/>
    <n v="11015.1747"/>
  </r>
  <r>
    <n v="36"/>
    <s v="female"/>
    <n v="22.135000000000002"/>
    <n v="3"/>
    <s v="no"/>
    <x v="3"/>
    <n v="7228.2156500000001"/>
  </r>
  <r>
    <n v="19"/>
    <s v="male"/>
    <n v="44.88"/>
    <n v="0"/>
    <s v="yes"/>
    <x v="1"/>
    <n v="39722.746200000001"/>
  </r>
  <r>
    <n v="23"/>
    <s v="female"/>
    <n v="23.18"/>
    <n v="2"/>
    <s v="no"/>
    <x v="2"/>
    <n v="14426.073850000001"/>
  </r>
  <r>
    <n v="20"/>
    <s v="female"/>
    <n v="30.59"/>
    <n v="0"/>
    <s v="no"/>
    <x v="3"/>
    <n v="2459.7201"/>
  </r>
  <r>
    <n v="32"/>
    <s v="female"/>
    <n v="41.1"/>
    <n v="0"/>
    <s v="no"/>
    <x v="0"/>
    <n v="3989.8409999999999"/>
  </r>
  <r>
    <n v="43"/>
    <s v="female"/>
    <n v="34.58"/>
    <n v="1"/>
    <s v="no"/>
    <x v="2"/>
    <n v="7727.2532000000001"/>
  </r>
  <r>
    <n v="34"/>
    <s v="male"/>
    <n v="42.13"/>
    <n v="2"/>
    <s v="no"/>
    <x v="1"/>
    <n v="5124.1886999999997"/>
  </r>
  <r>
    <n v="30"/>
    <s v="male"/>
    <n v="38.83"/>
    <n v="1"/>
    <s v="no"/>
    <x v="1"/>
    <n v="18963.171920000001"/>
  </r>
  <r>
    <n v="18"/>
    <s v="female"/>
    <n v="28.215"/>
    <n v="0"/>
    <s v="no"/>
    <x v="3"/>
    <n v="2200.8308499999998"/>
  </r>
  <r>
    <n v="41"/>
    <s v="female"/>
    <n v="28.31"/>
    <n v="1"/>
    <s v="no"/>
    <x v="2"/>
    <n v="7153.5538999999999"/>
  </r>
  <r>
    <n v="35"/>
    <s v="female"/>
    <n v="26.125"/>
    <n v="0"/>
    <s v="no"/>
    <x v="3"/>
    <n v="5227.9887500000004"/>
  </r>
  <r>
    <n v="57"/>
    <s v="male"/>
    <n v="40.369999999999997"/>
    <n v="0"/>
    <s v="no"/>
    <x v="1"/>
    <n v="10982.5013"/>
  </r>
  <r>
    <n v="29"/>
    <s v="female"/>
    <n v="24.6"/>
    <n v="2"/>
    <s v="no"/>
    <x v="0"/>
    <n v="4529.4769999999999"/>
  </r>
  <r>
    <n v="32"/>
    <s v="male"/>
    <n v="35.200000000000003"/>
    <n v="2"/>
    <s v="no"/>
    <x v="0"/>
    <n v="4670.6400000000003"/>
  </r>
  <r>
    <n v="37"/>
    <s v="female"/>
    <n v="34.104999999999997"/>
    <n v="1"/>
    <s v="no"/>
    <x v="2"/>
    <n v="6112.3529500000004"/>
  </r>
  <r>
    <n v="18"/>
    <s v="male"/>
    <n v="27.36"/>
    <n v="1"/>
    <s v="yes"/>
    <x v="3"/>
    <n v="17178.682400000002"/>
  </r>
  <r>
    <n v="43"/>
    <s v="female"/>
    <n v="26.7"/>
    <n v="2"/>
    <s v="yes"/>
    <x v="0"/>
    <n v="22478.6"/>
  </r>
  <r>
    <n v="56"/>
    <s v="female"/>
    <n v="41.91"/>
    <n v="0"/>
    <s v="no"/>
    <x v="1"/>
    <n v="11093.6229"/>
  </r>
  <r>
    <n v="38"/>
    <s v="male"/>
    <n v="29.26"/>
    <n v="2"/>
    <s v="no"/>
    <x v="2"/>
    <n v="6457.8433999999997"/>
  </r>
  <r>
    <n v="29"/>
    <s v="male"/>
    <n v="32.11"/>
    <n v="2"/>
    <s v="no"/>
    <x v="2"/>
    <n v="4433.9159"/>
  </r>
  <r>
    <n v="22"/>
    <s v="female"/>
    <n v="27.1"/>
    <n v="0"/>
    <s v="no"/>
    <x v="0"/>
    <n v="2154.3609999999999"/>
  </r>
  <r>
    <n v="52"/>
    <s v="female"/>
    <n v="24.13"/>
    <n v="1"/>
    <s v="yes"/>
    <x v="2"/>
    <n v="23887.662700000001"/>
  </r>
  <r>
    <n v="40"/>
    <s v="female"/>
    <n v="27.4"/>
    <n v="1"/>
    <s v="no"/>
    <x v="0"/>
    <n v="6496.8860000000004"/>
  </r>
  <r>
    <n v="23"/>
    <s v="female"/>
    <n v="34.865000000000002"/>
    <n v="0"/>
    <s v="no"/>
    <x v="3"/>
    <n v="2899.4893499999998"/>
  </r>
  <r>
    <n v="31"/>
    <s v="male"/>
    <n v="29.81"/>
    <n v="0"/>
    <s v="yes"/>
    <x v="1"/>
    <n v="19350.368900000001"/>
  </r>
  <r>
    <n v="42"/>
    <s v="female"/>
    <n v="41.325000000000003"/>
    <n v="1"/>
    <s v="no"/>
    <x v="3"/>
    <n v="7650.7737500000003"/>
  </r>
  <r>
    <n v="24"/>
    <s v="female"/>
    <n v="29.925000000000001"/>
    <n v="0"/>
    <s v="no"/>
    <x v="2"/>
    <n v="2850.6837500000001"/>
  </r>
  <r>
    <n v="25"/>
    <s v="female"/>
    <n v="30.3"/>
    <n v="0"/>
    <s v="no"/>
    <x v="0"/>
    <n v="2632.9920000000002"/>
  </r>
  <r>
    <n v="48"/>
    <s v="female"/>
    <n v="27.36"/>
    <n v="1"/>
    <s v="no"/>
    <x v="3"/>
    <n v="9447.3824000000004"/>
  </r>
  <r>
    <n v="23"/>
    <s v="female"/>
    <n v="28.49"/>
    <n v="1"/>
    <s v="yes"/>
    <x v="1"/>
    <n v="18328.238099999999"/>
  </r>
  <r>
    <n v="45"/>
    <s v="male"/>
    <n v="23.56"/>
    <n v="2"/>
    <s v="no"/>
    <x v="3"/>
    <n v="8603.8233999999993"/>
  </r>
  <r>
    <n v="20"/>
    <s v="male"/>
    <n v="35.625"/>
    <n v="3"/>
    <s v="yes"/>
    <x v="2"/>
    <n v="37465.34375"/>
  </r>
  <r>
    <n v="62"/>
    <s v="female"/>
    <n v="32.68"/>
    <n v="0"/>
    <s v="no"/>
    <x v="2"/>
    <n v="13844.797200000001"/>
  </r>
  <r>
    <n v="43"/>
    <s v="female"/>
    <n v="25.27"/>
    <n v="1"/>
    <s v="yes"/>
    <x v="3"/>
    <n v="21771.3423"/>
  </r>
  <r>
    <n v="23"/>
    <s v="female"/>
    <n v="28"/>
    <n v="0"/>
    <s v="no"/>
    <x v="0"/>
    <n v="13126.677449999999"/>
  </r>
  <r>
    <n v="31"/>
    <s v="female"/>
    <n v="32.774999999999999"/>
    <n v="2"/>
    <s v="no"/>
    <x v="2"/>
    <n v="5327.4002499999997"/>
  </r>
  <r>
    <n v="41"/>
    <s v="female"/>
    <n v="21.754999999999999"/>
    <n v="1"/>
    <s v="no"/>
    <x v="3"/>
    <n v="13725.47184"/>
  </r>
  <r>
    <n v="58"/>
    <s v="female"/>
    <n v="32.395000000000003"/>
    <n v="1"/>
    <s v="no"/>
    <x v="3"/>
    <n v="13019.161050000001"/>
  </r>
  <r>
    <n v="48"/>
    <s v="female"/>
    <n v="36.575000000000003"/>
    <n v="0"/>
    <s v="no"/>
    <x v="2"/>
    <n v="8671.1912499999999"/>
  </r>
  <r>
    <n v="31"/>
    <s v="female"/>
    <n v="21.754999999999999"/>
    <n v="0"/>
    <s v="no"/>
    <x v="2"/>
    <n v="4134.0824499999999"/>
  </r>
  <r>
    <n v="19"/>
    <s v="female"/>
    <n v="27.93"/>
    <n v="3"/>
    <s v="no"/>
    <x v="2"/>
    <n v="18838.703659999999"/>
  </r>
  <r>
    <n v="19"/>
    <s v="female"/>
    <n v="30.02"/>
    <n v="0"/>
    <s v="yes"/>
    <x v="2"/>
    <n v="33307.550799999997"/>
  </r>
  <r>
    <n v="41"/>
    <s v="male"/>
    <n v="33.549999999999997"/>
    <n v="0"/>
    <s v="no"/>
    <x v="1"/>
    <n v="5699.8374999999996"/>
  </r>
  <r>
    <n v="40"/>
    <s v="male"/>
    <n v="29.355"/>
    <n v="1"/>
    <s v="no"/>
    <x v="2"/>
    <n v="6393.6034499999996"/>
  </r>
  <r>
    <n v="31"/>
    <s v="female"/>
    <n v="25.8"/>
    <n v="2"/>
    <s v="no"/>
    <x v="0"/>
    <n v="4934.7049999999999"/>
  </r>
  <r>
    <n v="37"/>
    <s v="male"/>
    <n v="24.32"/>
    <n v="2"/>
    <s v="no"/>
    <x v="2"/>
    <n v="6198.7518"/>
  </r>
  <r>
    <n v="46"/>
    <s v="male"/>
    <n v="40.375"/>
    <n v="2"/>
    <s v="no"/>
    <x v="2"/>
    <n v="8733.2292500000003"/>
  </r>
  <r>
    <n v="22"/>
    <s v="male"/>
    <n v="32.11"/>
    <n v="0"/>
    <s v="no"/>
    <x v="2"/>
    <n v="2055.3249000000001"/>
  </r>
  <r>
    <n v="51"/>
    <s v="male"/>
    <n v="32.299999999999997"/>
    <n v="1"/>
    <s v="no"/>
    <x v="3"/>
    <n v="9964.06"/>
  </r>
  <r>
    <n v="18"/>
    <s v="female"/>
    <n v="27.28"/>
    <n v="3"/>
    <s v="yes"/>
    <x v="1"/>
    <n v="18223.4512"/>
  </r>
  <r>
    <n v="35"/>
    <s v="male"/>
    <n v="17.86"/>
    <n v="1"/>
    <s v="no"/>
    <x v="2"/>
    <n v="5116.5003999999999"/>
  </r>
  <r>
    <n v="59"/>
    <s v="female"/>
    <n v="34.799999999999997"/>
    <n v="2"/>
    <s v="no"/>
    <x v="0"/>
    <n v="36910.608030000003"/>
  </r>
  <r>
    <n v="36"/>
    <s v="male"/>
    <n v="33.4"/>
    <n v="2"/>
    <s v="yes"/>
    <x v="0"/>
    <n v="38415.474000000002"/>
  </r>
  <r>
    <n v="37"/>
    <s v="female"/>
    <n v="25.555"/>
    <n v="1"/>
    <s v="yes"/>
    <x v="3"/>
    <n v="20296.863450000001"/>
  </r>
  <r>
    <n v="59"/>
    <s v="male"/>
    <n v="37.1"/>
    <n v="1"/>
    <s v="no"/>
    <x v="0"/>
    <n v="12347.172"/>
  </r>
  <r>
    <n v="36"/>
    <s v="male"/>
    <n v="30.875"/>
    <n v="1"/>
    <s v="no"/>
    <x v="2"/>
    <n v="5373.3642499999996"/>
  </r>
  <r>
    <n v="39"/>
    <s v="male"/>
    <n v="34.1"/>
    <n v="2"/>
    <s v="no"/>
    <x v="1"/>
    <n v="23563.016179999999"/>
  </r>
  <r>
    <n v="18"/>
    <s v="male"/>
    <n v="21.47"/>
    <n v="0"/>
    <s v="no"/>
    <x v="3"/>
    <n v="1702.4553000000001"/>
  </r>
  <r>
    <n v="52"/>
    <s v="female"/>
    <n v="33.299999999999997"/>
    <n v="2"/>
    <s v="no"/>
    <x v="0"/>
    <n v="10806.839"/>
  </r>
  <r>
    <n v="27"/>
    <s v="female"/>
    <n v="31.254999999999999"/>
    <n v="1"/>
    <s v="no"/>
    <x v="2"/>
    <n v="3956.0714499999999"/>
  </r>
  <r>
    <n v="18"/>
    <s v="male"/>
    <n v="39.14"/>
    <n v="0"/>
    <s v="no"/>
    <x v="3"/>
    <n v="12890.057650000001"/>
  </r>
  <r>
    <n v="40"/>
    <s v="male"/>
    <n v="25.08"/>
    <n v="0"/>
    <s v="no"/>
    <x v="1"/>
    <n v="5415.6611999999996"/>
  </r>
  <r>
    <n v="29"/>
    <s v="male"/>
    <n v="37.29"/>
    <n v="2"/>
    <s v="no"/>
    <x v="1"/>
    <n v="4058.1161000000002"/>
  </r>
  <r>
    <n v="46"/>
    <s v="female"/>
    <n v="34.6"/>
    <n v="1"/>
    <s v="yes"/>
    <x v="0"/>
    <n v="41661.601999999999"/>
  </r>
  <r>
    <n v="38"/>
    <s v="female"/>
    <n v="30.21"/>
    <n v="3"/>
    <s v="no"/>
    <x v="2"/>
    <n v="7537.1638999999996"/>
  </r>
  <r>
    <n v="30"/>
    <s v="female"/>
    <n v="21.945"/>
    <n v="1"/>
    <s v="no"/>
    <x v="3"/>
    <n v="4718.2035500000002"/>
  </r>
  <r>
    <n v="40"/>
    <s v="male"/>
    <n v="24.97"/>
    <n v="2"/>
    <s v="no"/>
    <x v="1"/>
    <n v="6593.5083000000004"/>
  </r>
  <r>
    <n v="50"/>
    <s v="male"/>
    <n v="25.3"/>
    <n v="0"/>
    <s v="no"/>
    <x v="1"/>
    <n v="8442.6669999999995"/>
  </r>
  <r>
    <n v="20"/>
    <s v="female"/>
    <n v="24.42"/>
    <n v="0"/>
    <s v="yes"/>
    <x v="1"/>
    <n v="26125.674770000001"/>
  </r>
  <r>
    <n v="41"/>
    <s v="male"/>
    <n v="23.94"/>
    <n v="1"/>
    <s v="no"/>
    <x v="3"/>
    <n v="6858.4795999999997"/>
  </r>
  <r>
    <n v="33"/>
    <s v="female"/>
    <n v="39.82"/>
    <n v="1"/>
    <s v="no"/>
    <x v="1"/>
    <n v="4795.6567999999997"/>
  </r>
  <r>
    <n v="38"/>
    <s v="male"/>
    <n v="16.815000000000001"/>
    <n v="2"/>
    <s v="no"/>
    <x v="3"/>
    <n v="6640.5448500000002"/>
  </r>
  <r>
    <n v="42"/>
    <s v="male"/>
    <n v="37.18"/>
    <n v="2"/>
    <s v="no"/>
    <x v="1"/>
    <n v="7162.0122000000001"/>
  </r>
  <r>
    <n v="56"/>
    <s v="male"/>
    <n v="34.43"/>
    <n v="0"/>
    <s v="no"/>
    <x v="1"/>
    <n v="10594.225700000001"/>
  </r>
  <r>
    <n v="58"/>
    <s v="male"/>
    <n v="30.305"/>
    <n v="0"/>
    <s v="no"/>
    <x v="3"/>
    <n v="11938.255950000001"/>
  </r>
  <r>
    <n v="52"/>
    <s v="male"/>
    <n v="34.484999999999999"/>
    <n v="3"/>
    <s v="yes"/>
    <x v="2"/>
    <n v="60021.398970000002"/>
  </r>
  <r>
    <n v="20"/>
    <s v="female"/>
    <n v="21.8"/>
    <n v="0"/>
    <s v="yes"/>
    <x v="0"/>
    <n v="20167.336029999999"/>
  </r>
  <r>
    <n v="54"/>
    <s v="female"/>
    <n v="24.605"/>
    <n v="3"/>
    <s v="no"/>
    <x v="2"/>
    <n v="12479.70895"/>
  </r>
  <r>
    <n v="58"/>
    <s v="male"/>
    <n v="23.3"/>
    <n v="0"/>
    <s v="no"/>
    <x v="0"/>
    <n v="11345.519"/>
  </r>
  <r>
    <n v="45"/>
    <s v="female"/>
    <n v="27.83"/>
    <n v="2"/>
    <s v="no"/>
    <x v="1"/>
    <n v="8515.7587000000003"/>
  </r>
  <r>
    <n v="26"/>
    <s v="male"/>
    <n v="31.065000000000001"/>
    <n v="0"/>
    <s v="no"/>
    <x v="2"/>
    <n v="2699.56835"/>
  </r>
  <r>
    <n v="63"/>
    <s v="female"/>
    <n v="21.66"/>
    <n v="0"/>
    <s v="no"/>
    <x v="3"/>
    <n v="14449.8544"/>
  </r>
  <r>
    <n v="58"/>
    <s v="female"/>
    <n v="28.215"/>
    <n v="0"/>
    <s v="no"/>
    <x v="2"/>
    <n v="12224.350850000001"/>
  </r>
  <r>
    <n v="37"/>
    <s v="male"/>
    <n v="22.704999999999998"/>
    <n v="3"/>
    <s v="no"/>
    <x v="3"/>
    <n v="6985.50695"/>
  </r>
  <r>
    <n v="25"/>
    <s v="female"/>
    <n v="42.13"/>
    <n v="1"/>
    <s v="no"/>
    <x v="1"/>
    <n v="3238.4357"/>
  </r>
  <r>
    <n v="52"/>
    <s v="male"/>
    <n v="41.8"/>
    <n v="2"/>
    <s v="yes"/>
    <x v="1"/>
    <n v="47269.853999999999"/>
  </r>
  <r>
    <n v="64"/>
    <s v="male"/>
    <n v="36.96"/>
    <n v="2"/>
    <s v="yes"/>
    <x v="1"/>
    <n v="49577.662400000001"/>
  </r>
  <r>
    <n v="22"/>
    <s v="female"/>
    <n v="21.28"/>
    <n v="3"/>
    <s v="no"/>
    <x v="2"/>
    <n v="4296.2712000000001"/>
  </r>
  <r>
    <n v="28"/>
    <s v="female"/>
    <n v="33.11"/>
    <n v="0"/>
    <s v="no"/>
    <x v="1"/>
    <n v="3171.6149"/>
  </r>
  <r>
    <n v="18"/>
    <s v="male"/>
    <n v="33.33"/>
    <n v="0"/>
    <s v="no"/>
    <x v="1"/>
    <n v="1135.9407000000001"/>
  </r>
  <r>
    <n v="28"/>
    <s v="male"/>
    <n v="24.3"/>
    <n v="5"/>
    <s v="no"/>
    <x v="0"/>
    <n v="5615.3689999999997"/>
  </r>
  <r>
    <n v="45"/>
    <s v="female"/>
    <n v="25.7"/>
    <n v="3"/>
    <s v="no"/>
    <x v="0"/>
    <n v="9101.7980000000007"/>
  </r>
  <r>
    <n v="33"/>
    <s v="male"/>
    <n v="29.4"/>
    <n v="4"/>
    <s v="no"/>
    <x v="0"/>
    <n v="6059.1729999999998"/>
  </r>
  <r>
    <n v="18"/>
    <s v="female"/>
    <n v="39.82"/>
    <n v="0"/>
    <s v="no"/>
    <x v="1"/>
    <n v="1633.9618"/>
  </r>
  <r>
    <n v="32"/>
    <s v="male"/>
    <n v="33.630000000000003"/>
    <n v="1"/>
    <s v="yes"/>
    <x v="3"/>
    <n v="37607.527699999999"/>
  </r>
  <r>
    <n v="24"/>
    <s v="male"/>
    <n v="29.83"/>
    <n v="0"/>
    <s v="yes"/>
    <x v="3"/>
    <n v="18648.421699999999"/>
  </r>
  <r>
    <n v="19"/>
    <s v="male"/>
    <n v="19.8"/>
    <n v="0"/>
    <s v="no"/>
    <x v="0"/>
    <n v="1241.5650000000001"/>
  </r>
  <r>
    <n v="20"/>
    <s v="male"/>
    <n v="27.3"/>
    <n v="0"/>
    <s v="yes"/>
    <x v="0"/>
    <n v="16232.847"/>
  </r>
  <r>
    <n v="40"/>
    <s v="female"/>
    <n v="29.3"/>
    <n v="4"/>
    <s v="no"/>
    <x v="0"/>
    <n v="15828.82173"/>
  </r>
  <r>
    <n v="34"/>
    <s v="female"/>
    <n v="27.72"/>
    <n v="0"/>
    <s v="no"/>
    <x v="1"/>
    <n v="4415.1588000000002"/>
  </r>
  <r>
    <n v="42"/>
    <s v="female"/>
    <n v="37.9"/>
    <n v="0"/>
    <s v="no"/>
    <x v="0"/>
    <n v="6474.0129999999999"/>
  </r>
  <r>
    <n v="51"/>
    <s v="female"/>
    <n v="36.384999999999998"/>
    <n v="3"/>
    <s v="no"/>
    <x v="2"/>
    <n v="11436.738149999999"/>
  </r>
  <r>
    <n v="54"/>
    <s v="female"/>
    <n v="27.645"/>
    <n v="1"/>
    <s v="no"/>
    <x v="2"/>
    <n v="11305.93455"/>
  </r>
  <r>
    <n v="55"/>
    <s v="male"/>
    <n v="37.715000000000003"/>
    <n v="3"/>
    <s v="no"/>
    <x v="2"/>
    <n v="30063.580549999999"/>
  </r>
  <r>
    <n v="52"/>
    <s v="female"/>
    <n v="23.18"/>
    <n v="0"/>
    <s v="no"/>
    <x v="3"/>
    <n v="10197.772199999999"/>
  </r>
  <r>
    <n v="32"/>
    <s v="female"/>
    <n v="20.52"/>
    <n v="0"/>
    <s v="no"/>
    <x v="3"/>
    <n v="4544.2348000000002"/>
  </r>
  <r>
    <n v="28"/>
    <s v="male"/>
    <n v="37.1"/>
    <n v="1"/>
    <s v="no"/>
    <x v="0"/>
    <n v="3277.1610000000001"/>
  </r>
  <r>
    <n v="41"/>
    <s v="female"/>
    <n v="28.05"/>
    <n v="1"/>
    <s v="no"/>
    <x v="1"/>
    <n v="6770.1925000000001"/>
  </r>
  <r>
    <n v="43"/>
    <s v="female"/>
    <n v="29.9"/>
    <n v="1"/>
    <s v="no"/>
    <x v="0"/>
    <n v="7337.7479999999996"/>
  </r>
  <r>
    <n v="49"/>
    <s v="female"/>
    <n v="33.344999999999999"/>
    <n v="2"/>
    <s v="no"/>
    <x v="3"/>
    <n v="10370.912549999999"/>
  </r>
  <r>
    <n v="64"/>
    <s v="male"/>
    <n v="23.76"/>
    <n v="0"/>
    <s v="yes"/>
    <x v="1"/>
    <n v="26926.5144"/>
  </r>
  <r>
    <n v="55"/>
    <s v="female"/>
    <n v="30.5"/>
    <n v="0"/>
    <s v="no"/>
    <x v="0"/>
    <n v="10704.47"/>
  </r>
  <r>
    <n v="24"/>
    <s v="male"/>
    <n v="31.065000000000001"/>
    <n v="0"/>
    <s v="yes"/>
    <x v="3"/>
    <n v="34254.053350000002"/>
  </r>
  <r>
    <n v="20"/>
    <s v="female"/>
    <n v="33.299999999999997"/>
    <n v="0"/>
    <s v="no"/>
    <x v="0"/>
    <n v="1880.4870000000001"/>
  </r>
  <r>
    <n v="45"/>
    <s v="male"/>
    <n v="27.5"/>
    <n v="3"/>
    <s v="no"/>
    <x v="0"/>
    <n v="8615.2999999999993"/>
  </r>
  <r>
    <n v="26"/>
    <s v="male"/>
    <n v="33.914999999999999"/>
    <n v="1"/>
    <s v="no"/>
    <x v="2"/>
    <n v="3292.5298499999999"/>
  </r>
  <r>
    <n v="25"/>
    <s v="female"/>
    <n v="34.484999999999999"/>
    <n v="0"/>
    <s v="no"/>
    <x v="2"/>
    <n v="3021.80915"/>
  </r>
  <r>
    <n v="43"/>
    <s v="male"/>
    <n v="25.52"/>
    <n v="5"/>
    <s v="no"/>
    <x v="1"/>
    <n v="14478.33015"/>
  </r>
  <r>
    <n v="35"/>
    <s v="male"/>
    <n v="27.61"/>
    <n v="1"/>
    <s v="no"/>
    <x v="1"/>
    <n v="4747.0528999999997"/>
  </r>
  <r>
    <n v="26"/>
    <s v="male"/>
    <n v="27.06"/>
    <n v="0"/>
    <s v="yes"/>
    <x v="1"/>
    <n v="17043.341400000001"/>
  </r>
  <r>
    <n v="57"/>
    <s v="male"/>
    <n v="23.7"/>
    <n v="0"/>
    <s v="no"/>
    <x v="0"/>
    <n v="10959.33"/>
  </r>
  <r>
    <n v="22"/>
    <s v="female"/>
    <n v="30.4"/>
    <n v="0"/>
    <s v="no"/>
    <x v="3"/>
    <n v="2741.9479999999999"/>
  </r>
  <r>
    <n v="32"/>
    <s v="female"/>
    <n v="29.734999999999999"/>
    <n v="0"/>
    <s v="no"/>
    <x v="2"/>
    <n v="4357.0436499999996"/>
  </r>
  <r>
    <n v="39"/>
    <s v="male"/>
    <n v="29.925000000000001"/>
    <n v="1"/>
    <s v="yes"/>
    <x v="3"/>
    <n v="22462.043750000001"/>
  </r>
  <r>
    <n v="25"/>
    <s v="female"/>
    <n v="26.79"/>
    <n v="2"/>
    <s v="no"/>
    <x v="2"/>
    <n v="4189.1130999999996"/>
  </r>
  <r>
    <n v="48"/>
    <s v="female"/>
    <n v="33.33"/>
    <n v="0"/>
    <s v="no"/>
    <x v="1"/>
    <n v="8283.6807000000008"/>
  </r>
  <r>
    <n v="47"/>
    <s v="female"/>
    <n v="27.645"/>
    <n v="2"/>
    <s v="yes"/>
    <x v="2"/>
    <n v="24535.698550000001"/>
  </r>
  <r>
    <n v="18"/>
    <s v="female"/>
    <n v="21.66"/>
    <n v="0"/>
    <s v="yes"/>
    <x v="3"/>
    <n v="14283.4594"/>
  </r>
  <r>
    <n v="18"/>
    <s v="male"/>
    <n v="30.03"/>
    <n v="1"/>
    <s v="no"/>
    <x v="1"/>
    <n v="1720.3536999999999"/>
  </r>
  <r>
    <n v="61"/>
    <s v="male"/>
    <n v="36.299999999999997"/>
    <n v="1"/>
    <s v="yes"/>
    <x v="0"/>
    <n v="47403.88"/>
  </r>
  <r>
    <n v="47"/>
    <s v="female"/>
    <n v="24.32"/>
    <n v="0"/>
    <s v="no"/>
    <x v="3"/>
    <n v="8534.6718000000001"/>
  </r>
  <r>
    <n v="28"/>
    <s v="female"/>
    <n v="17.29"/>
    <n v="0"/>
    <s v="no"/>
    <x v="3"/>
    <n v="3732.6251000000002"/>
  </r>
  <r>
    <n v="36"/>
    <s v="female"/>
    <n v="25.9"/>
    <n v="1"/>
    <s v="no"/>
    <x v="0"/>
    <n v="5472.4489999999996"/>
  </r>
  <r>
    <n v="20"/>
    <s v="male"/>
    <n v="39.4"/>
    <n v="2"/>
    <s v="yes"/>
    <x v="0"/>
    <n v="38344.565999999999"/>
  </r>
  <r>
    <n v="44"/>
    <s v="male"/>
    <n v="34.32"/>
    <n v="1"/>
    <s v="no"/>
    <x v="1"/>
    <n v="7147.4727999999996"/>
  </r>
  <r>
    <n v="38"/>
    <s v="female"/>
    <n v="19.95"/>
    <n v="2"/>
    <s v="no"/>
    <x v="3"/>
    <n v="7133.9025000000001"/>
  </r>
  <r>
    <n v="19"/>
    <s v="male"/>
    <n v="34.9"/>
    <n v="0"/>
    <s v="yes"/>
    <x v="0"/>
    <n v="34828.654000000002"/>
  </r>
  <r>
    <n v="21"/>
    <s v="male"/>
    <n v="23.21"/>
    <n v="0"/>
    <s v="no"/>
    <x v="1"/>
    <n v="1515.3449000000001"/>
  </r>
  <r>
    <n v="46"/>
    <s v="male"/>
    <n v="25.745000000000001"/>
    <n v="3"/>
    <s v="no"/>
    <x v="2"/>
    <n v="9301.8935500000007"/>
  </r>
  <r>
    <n v="58"/>
    <s v="male"/>
    <n v="25.175000000000001"/>
    <n v="0"/>
    <s v="no"/>
    <x v="3"/>
    <n v="11931.125249999999"/>
  </r>
  <r>
    <n v="20"/>
    <s v="male"/>
    <n v="22"/>
    <n v="1"/>
    <s v="no"/>
    <x v="0"/>
    <n v="1964.78"/>
  </r>
  <r>
    <n v="18"/>
    <s v="male"/>
    <n v="26.125"/>
    <n v="0"/>
    <s v="no"/>
    <x v="3"/>
    <n v="1708.9257500000001"/>
  </r>
  <r>
    <n v="28"/>
    <s v="female"/>
    <n v="26.51"/>
    <n v="2"/>
    <s v="no"/>
    <x v="1"/>
    <n v="4340.4408999999996"/>
  </r>
  <r>
    <n v="33"/>
    <s v="male"/>
    <n v="27.454999999999998"/>
    <n v="2"/>
    <s v="no"/>
    <x v="2"/>
    <n v="5261.4694499999996"/>
  </r>
  <r>
    <n v="19"/>
    <s v="female"/>
    <n v="25.745000000000001"/>
    <n v="1"/>
    <s v="no"/>
    <x v="2"/>
    <n v="2710.8285500000002"/>
  </r>
  <r>
    <n v="45"/>
    <s v="male"/>
    <n v="30.36"/>
    <n v="0"/>
    <s v="yes"/>
    <x v="1"/>
    <n v="62592.873090000001"/>
  </r>
  <r>
    <n v="62"/>
    <s v="male"/>
    <n v="30.875"/>
    <n v="3"/>
    <s v="yes"/>
    <x v="2"/>
    <n v="46718.163249999998"/>
  </r>
  <r>
    <n v="25"/>
    <s v="female"/>
    <n v="20.8"/>
    <n v="1"/>
    <s v="no"/>
    <x v="0"/>
    <n v="3208.7869999999998"/>
  </r>
  <r>
    <n v="43"/>
    <s v="male"/>
    <n v="27.8"/>
    <n v="0"/>
    <s v="yes"/>
    <x v="0"/>
    <n v="37829.724199999997"/>
  </r>
  <r>
    <n v="42"/>
    <s v="male"/>
    <n v="24.605"/>
    <n v="2"/>
    <s v="yes"/>
    <x v="3"/>
    <n v="21259.377949999998"/>
  </r>
  <r>
    <n v="24"/>
    <s v="female"/>
    <n v="27.72"/>
    <n v="0"/>
    <s v="no"/>
    <x v="1"/>
    <n v="2464.6188000000002"/>
  </r>
  <r>
    <n v="29"/>
    <s v="female"/>
    <n v="21.85"/>
    <n v="0"/>
    <s v="yes"/>
    <x v="3"/>
    <n v="16115.3045"/>
  </r>
  <r>
    <n v="32"/>
    <s v="male"/>
    <n v="28.12"/>
    <n v="4"/>
    <s v="yes"/>
    <x v="2"/>
    <n v="21472.478800000001"/>
  </r>
  <r>
    <n v="25"/>
    <s v="female"/>
    <n v="30.2"/>
    <n v="0"/>
    <s v="yes"/>
    <x v="0"/>
    <n v="33900.652999999998"/>
  </r>
  <r>
    <n v="41"/>
    <s v="male"/>
    <n v="32.200000000000003"/>
    <n v="2"/>
    <s v="no"/>
    <x v="0"/>
    <n v="6875.9610000000002"/>
  </r>
  <r>
    <n v="42"/>
    <s v="male"/>
    <n v="26.315000000000001"/>
    <n v="1"/>
    <s v="no"/>
    <x v="2"/>
    <n v="6940.90985"/>
  </r>
  <r>
    <n v="33"/>
    <s v="female"/>
    <n v="26.695"/>
    <n v="0"/>
    <s v="no"/>
    <x v="2"/>
    <n v="4571.4130500000001"/>
  </r>
  <r>
    <n v="34"/>
    <s v="male"/>
    <n v="42.9"/>
    <n v="1"/>
    <s v="no"/>
    <x v="0"/>
    <n v="4536.259"/>
  </r>
  <r>
    <n v="19"/>
    <s v="female"/>
    <n v="34.700000000000003"/>
    <n v="2"/>
    <s v="yes"/>
    <x v="0"/>
    <n v="36397.576000000001"/>
  </r>
  <r>
    <n v="30"/>
    <s v="female"/>
    <n v="23.655000000000001"/>
    <n v="3"/>
    <s v="yes"/>
    <x v="2"/>
    <n v="18765.87545"/>
  </r>
  <r>
    <n v="18"/>
    <s v="male"/>
    <n v="28.31"/>
    <n v="1"/>
    <s v="no"/>
    <x v="3"/>
    <n v="11272.331389999999"/>
  </r>
  <r>
    <n v="19"/>
    <s v="female"/>
    <n v="20.6"/>
    <n v="0"/>
    <s v="no"/>
    <x v="0"/>
    <n v="1731.6769999999999"/>
  </r>
  <r>
    <n v="18"/>
    <s v="male"/>
    <n v="53.13"/>
    <n v="0"/>
    <s v="no"/>
    <x v="1"/>
    <n v="1163.4627"/>
  </r>
  <r>
    <n v="35"/>
    <s v="male"/>
    <n v="39.71"/>
    <n v="4"/>
    <s v="no"/>
    <x v="3"/>
    <n v="19496.71917"/>
  </r>
  <r>
    <n v="39"/>
    <s v="female"/>
    <n v="26.315000000000001"/>
    <n v="2"/>
    <s v="no"/>
    <x v="2"/>
    <n v="7201.7008500000002"/>
  </r>
  <r>
    <n v="31"/>
    <s v="male"/>
    <n v="31.065000000000001"/>
    <n v="3"/>
    <s v="no"/>
    <x v="2"/>
    <n v="5425.0233500000004"/>
  </r>
  <r>
    <n v="62"/>
    <s v="male"/>
    <n v="26.695"/>
    <n v="0"/>
    <s v="yes"/>
    <x v="3"/>
    <n v="28101.333050000001"/>
  </r>
  <r>
    <n v="62"/>
    <s v="male"/>
    <n v="38.83"/>
    <n v="0"/>
    <s v="no"/>
    <x v="1"/>
    <n v="12981.3457"/>
  </r>
  <r>
    <n v="42"/>
    <s v="female"/>
    <n v="40.369999999999997"/>
    <n v="2"/>
    <s v="yes"/>
    <x v="1"/>
    <n v="43896.376300000004"/>
  </r>
  <r>
    <n v="31"/>
    <s v="male"/>
    <n v="25.934999999999999"/>
    <n v="1"/>
    <s v="no"/>
    <x v="2"/>
    <n v="4239.8926499999998"/>
  </r>
  <r>
    <n v="61"/>
    <s v="male"/>
    <n v="33.534999999999997"/>
    <n v="0"/>
    <s v="no"/>
    <x v="3"/>
    <n v="13143.336649999999"/>
  </r>
  <r>
    <n v="42"/>
    <s v="female"/>
    <n v="32.869999999999997"/>
    <n v="0"/>
    <s v="no"/>
    <x v="3"/>
    <n v="7050.0213000000003"/>
  </r>
  <r>
    <n v="51"/>
    <s v="male"/>
    <n v="30.03"/>
    <n v="1"/>
    <s v="no"/>
    <x v="1"/>
    <n v="9377.9046999999991"/>
  </r>
  <r>
    <n v="23"/>
    <s v="female"/>
    <n v="24.225000000000001"/>
    <n v="2"/>
    <s v="no"/>
    <x v="3"/>
    <n v="22395.74424"/>
  </r>
  <r>
    <n v="52"/>
    <s v="male"/>
    <n v="38.6"/>
    <n v="2"/>
    <s v="no"/>
    <x v="0"/>
    <n v="10325.206"/>
  </r>
  <r>
    <n v="57"/>
    <s v="female"/>
    <n v="25.74"/>
    <n v="2"/>
    <s v="no"/>
    <x v="1"/>
    <n v="12629.1656"/>
  </r>
  <r>
    <n v="23"/>
    <s v="female"/>
    <n v="33.4"/>
    <n v="0"/>
    <s v="no"/>
    <x v="0"/>
    <n v="10795.937330000001"/>
  </r>
  <r>
    <n v="52"/>
    <s v="female"/>
    <n v="44.7"/>
    <n v="3"/>
    <s v="no"/>
    <x v="0"/>
    <n v="11411.684999999999"/>
  </r>
  <r>
    <n v="50"/>
    <s v="male"/>
    <n v="30.97"/>
    <n v="3"/>
    <s v="no"/>
    <x v="2"/>
    <n v="10600.5483"/>
  </r>
  <r>
    <n v="18"/>
    <s v="female"/>
    <n v="31.92"/>
    <n v="0"/>
    <s v="no"/>
    <x v="3"/>
    <n v="2205.9807999999998"/>
  </r>
  <r>
    <n v="18"/>
    <s v="female"/>
    <n v="36.85"/>
    <n v="0"/>
    <s v="no"/>
    <x v="1"/>
    <n v="1629.8335"/>
  </r>
  <r>
    <n v="21"/>
    <s v="female"/>
    <n v="25.8"/>
    <n v="0"/>
    <s v="no"/>
    <x v="0"/>
    <n v="2007.9449999999999"/>
  </r>
  <r>
    <n v="61"/>
    <s v="female"/>
    <n v="29.07"/>
    <n v="0"/>
    <s v="yes"/>
    <x v="2"/>
    <n v="29141.36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7.9"/>
    <x v="0"/>
    <s v="yes"/>
    <s v="southwest"/>
    <n v="16884.923999999999"/>
  </r>
  <r>
    <n v="18"/>
    <s v="male"/>
    <n v="33.770000000000003"/>
    <x v="1"/>
    <s v="no"/>
    <s v="southeast"/>
    <n v="1725.5523000000001"/>
  </r>
  <r>
    <n v="28"/>
    <s v="male"/>
    <n v="33"/>
    <x v="2"/>
    <s v="no"/>
    <s v="southeast"/>
    <n v="4449.4620000000004"/>
  </r>
  <r>
    <n v="33"/>
    <s v="male"/>
    <n v="22.704999999999998"/>
    <x v="0"/>
    <s v="no"/>
    <s v="northwest"/>
    <n v="21984.47061"/>
  </r>
  <r>
    <n v="32"/>
    <s v="male"/>
    <n v="28.88"/>
    <x v="0"/>
    <s v="no"/>
    <s v="northwest"/>
    <n v="3866.8552"/>
  </r>
  <r>
    <n v="31"/>
    <s v="female"/>
    <n v="25.74"/>
    <x v="0"/>
    <s v="no"/>
    <s v="southeast"/>
    <n v="3756.6215999999999"/>
  </r>
  <r>
    <n v="46"/>
    <s v="female"/>
    <n v="33.44"/>
    <x v="1"/>
    <s v="no"/>
    <s v="southeast"/>
    <n v="8240.5895999999993"/>
  </r>
  <r>
    <n v="37"/>
    <s v="female"/>
    <n v="27.74"/>
    <x v="2"/>
    <s v="no"/>
    <s v="northwest"/>
    <n v="7281.5056000000004"/>
  </r>
  <r>
    <n v="37"/>
    <s v="male"/>
    <n v="29.83"/>
    <x v="3"/>
    <s v="no"/>
    <s v="northeast"/>
    <n v="6406.4107000000004"/>
  </r>
  <r>
    <n v="60"/>
    <s v="female"/>
    <n v="25.84"/>
    <x v="0"/>
    <s v="no"/>
    <s v="northwest"/>
    <n v="28923.136920000001"/>
  </r>
  <r>
    <n v="25"/>
    <s v="male"/>
    <n v="26.22"/>
    <x v="0"/>
    <s v="no"/>
    <s v="northeast"/>
    <n v="2721.3208"/>
  </r>
  <r>
    <n v="62"/>
    <s v="female"/>
    <n v="26.29"/>
    <x v="0"/>
    <s v="yes"/>
    <s v="southeast"/>
    <n v="27808.7251"/>
  </r>
  <r>
    <n v="23"/>
    <s v="male"/>
    <n v="34.4"/>
    <x v="0"/>
    <s v="no"/>
    <s v="southwest"/>
    <n v="1826.8430000000001"/>
  </r>
  <r>
    <n v="56"/>
    <s v="female"/>
    <n v="39.82"/>
    <x v="0"/>
    <s v="no"/>
    <s v="southeast"/>
    <n v="11090.7178"/>
  </r>
  <r>
    <n v="27"/>
    <s v="male"/>
    <n v="42.13"/>
    <x v="0"/>
    <s v="yes"/>
    <s v="southeast"/>
    <n v="39611.757700000002"/>
  </r>
  <r>
    <n v="19"/>
    <s v="male"/>
    <n v="24.6"/>
    <x v="1"/>
    <s v="no"/>
    <s v="southwest"/>
    <n v="1837.2370000000001"/>
  </r>
  <r>
    <n v="52"/>
    <s v="female"/>
    <n v="30.78"/>
    <x v="1"/>
    <s v="no"/>
    <s v="northeast"/>
    <n v="10797.3362"/>
  </r>
  <r>
    <n v="23"/>
    <s v="male"/>
    <n v="23.844999999999999"/>
    <x v="0"/>
    <s v="no"/>
    <s v="northeast"/>
    <n v="2395.17155"/>
  </r>
  <r>
    <n v="56"/>
    <s v="male"/>
    <n v="40.299999999999997"/>
    <x v="0"/>
    <s v="no"/>
    <s v="southwest"/>
    <n v="10602.385"/>
  </r>
  <r>
    <n v="30"/>
    <s v="male"/>
    <n v="35.299999999999997"/>
    <x v="0"/>
    <s v="yes"/>
    <s v="southwest"/>
    <n v="36837.466999999997"/>
  </r>
  <r>
    <n v="60"/>
    <s v="female"/>
    <n v="36.005000000000003"/>
    <x v="0"/>
    <s v="no"/>
    <s v="northeast"/>
    <n v="13228.846949999999"/>
  </r>
  <r>
    <n v="30"/>
    <s v="female"/>
    <n v="32.4"/>
    <x v="1"/>
    <s v="no"/>
    <s v="southwest"/>
    <n v="4149.7359999999999"/>
  </r>
  <r>
    <n v="18"/>
    <s v="male"/>
    <n v="34.1"/>
    <x v="0"/>
    <s v="no"/>
    <s v="southeast"/>
    <n v="1137.011"/>
  </r>
  <r>
    <n v="34"/>
    <s v="female"/>
    <n v="31.92"/>
    <x v="1"/>
    <s v="yes"/>
    <s v="northeast"/>
    <n v="37701.876799999998"/>
  </r>
  <r>
    <n v="37"/>
    <s v="male"/>
    <n v="28.024999999999999"/>
    <x v="3"/>
    <s v="no"/>
    <s v="northwest"/>
    <n v="6203.90175"/>
  </r>
  <r>
    <n v="59"/>
    <s v="female"/>
    <n v="27.72"/>
    <x v="2"/>
    <s v="no"/>
    <s v="southeast"/>
    <n v="14001.1338"/>
  </r>
  <r>
    <n v="63"/>
    <s v="female"/>
    <n v="23.085000000000001"/>
    <x v="0"/>
    <s v="no"/>
    <s v="northeast"/>
    <n v="14451.835150000001"/>
  </r>
  <r>
    <n v="55"/>
    <s v="female"/>
    <n v="32.774999999999999"/>
    <x v="3"/>
    <s v="no"/>
    <s v="northwest"/>
    <n v="12268.632250000001"/>
  </r>
  <r>
    <n v="23"/>
    <s v="male"/>
    <n v="17.385000000000002"/>
    <x v="1"/>
    <s v="no"/>
    <s v="northwest"/>
    <n v="2775.1921499999999"/>
  </r>
  <r>
    <n v="31"/>
    <s v="male"/>
    <n v="36.299999999999997"/>
    <x v="3"/>
    <s v="yes"/>
    <s v="southwest"/>
    <n v="38711"/>
  </r>
  <r>
    <n v="22"/>
    <s v="male"/>
    <n v="35.6"/>
    <x v="0"/>
    <s v="yes"/>
    <s v="southwest"/>
    <n v="35585.576000000001"/>
  </r>
  <r>
    <n v="18"/>
    <s v="female"/>
    <n v="26.315000000000001"/>
    <x v="0"/>
    <s v="no"/>
    <s v="northeast"/>
    <n v="2198.1898500000002"/>
  </r>
  <r>
    <n v="19"/>
    <s v="female"/>
    <n v="28.6"/>
    <x v="4"/>
    <s v="no"/>
    <s v="southwest"/>
    <n v="4687.7969999999996"/>
  </r>
  <r>
    <n v="63"/>
    <s v="male"/>
    <n v="28.31"/>
    <x v="0"/>
    <s v="no"/>
    <s v="northwest"/>
    <n v="13770.097900000001"/>
  </r>
  <r>
    <n v="28"/>
    <s v="male"/>
    <n v="36.4"/>
    <x v="1"/>
    <s v="yes"/>
    <s v="southwest"/>
    <n v="51194.559139999998"/>
  </r>
  <r>
    <n v="19"/>
    <s v="male"/>
    <n v="20.425000000000001"/>
    <x v="0"/>
    <s v="no"/>
    <s v="northwest"/>
    <n v="1625.4337499999999"/>
  </r>
  <r>
    <n v="62"/>
    <s v="female"/>
    <n v="32.965000000000003"/>
    <x v="2"/>
    <s v="no"/>
    <s v="northwest"/>
    <n v="15612.19335"/>
  </r>
  <r>
    <n v="26"/>
    <s v="male"/>
    <n v="20.8"/>
    <x v="0"/>
    <s v="no"/>
    <s v="southwest"/>
    <n v="2302.3000000000002"/>
  </r>
  <r>
    <n v="35"/>
    <s v="male"/>
    <n v="36.67"/>
    <x v="1"/>
    <s v="yes"/>
    <s v="northeast"/>
    <n v="39774.276299999998"/>
  </r>
  <r>
    <n v="60"/>
    <s v="male"/>
    <n v="39.9"/>
    <x v="0"/>
    <s v="yes"/>
    <s v="southwest"/>
    <n v="48173.360999999997"/>
  </r>
  <r>
    <n v="24"/>
    <s v="female"/>
    <n v="26.6"/>
    <x v="0"/>
    <s v="no"/>
    <s v="northeast"/>
    <n v="3046.0619999999999"/>
  </r>
  <r>
    <n v="31"/>
    <s v="female"/>
    <n v="36.630000000000003"/>
    <x v="3"/>
    <s v="no"/>
    <s v="southeast"/>
    <n v="4949.7587000000003"/>
  </r>
  <r>
    <n v="41"/>
    <s v="male"/>
    <n v="21.78"/>
    <x v="1"/>
    <s v="no"/>
    <s v="southeast"/>
    <n v="6272.4772000000003"/>
  </r>
  <r>
    <n v="37"/>
    <s v="female"/>
    <n v="30.8"/>
    <x v="3"/>
    <s v="no"/>
    <s v="southeast"/>
    <n v="6313.759"/>
  </r>
  <r>
    <n v="38"/>
    <s v="male"/>
    <n v="37.049999999999997"/>
    <x v="1"/>
    <s v="no"/>
    <s v="northeast"/>
    <n v="6079.6715000000004"/>
  </r>
  <r>
    <n v="55"/>
    <s v="male"/>
    <n v="37.299999999999997"/>
    <x v="0"/>
    <s v="no"/>
    <s v="southwest"/>
    <n v="20630.283510000001"/>
  </r>
  <r>
    <n v="18"/>
    <s v="female"/>
    <n v="38.664999999999999"/>
    <x v="3"/>
    <s v="no"/>
    <s v="northeast"/>
    <n v="3393.35635"/>
  </r>
  <r>
    <n v="28"/>
    <s v="female"/>
    <n v="34.770000000000003"/>
    <x v="0"/>
    <s v="no"/>
    <s v="northwest"/>
    <n v="3556.9223000000002"/>
  </r>
  <r>
    <n v="60"/>
    <s v="female"/>
    <n v="24.53"/>
    <x v="0"/>
    <s v="no"/>
    <s v="southeast"/>
    <n v="12629.896699999999"/>
  </r>
  <r>
    <n v="36"/>
    <s v="male"/>
    <n v="35.200000000000003"/>
    <x v="1"/>
    <s v="yes"/>
    <s v="southeast"/>
    <n v="38709.175999999999"/>
  </r>
  <r>
    <n v="18"/>
    <s v="female"/>
    <n v="35.625"/>
    <x v="0"/>
    <s v="no"/>
    <s v="northeast"/>
    <n v="2211.1307499999998"/>
  </r>
  <r>
    <n v="21"/>
    <s v="female"/>
    <n v="33.630000000000003"/>
    <x v="3"/>
    <s v="no"/>
    <s v="northwest"/>
    <n v="3579.8287"/>
  </r>
  <r>
    <n v="48"/>
    <s v="male"/>
    <n v="28"/>
    <x v="1"/>
    <s v="yes"/>
    <s v="southwest"/>
    <n v="23568.272000000001"/>
  </r>
  <r>
    <n v="36"/>
    <s v="male"/>
    <n v="34.43"/>
    <x v="0"/>
    <s v="yes"/>
    <s v="southeast"/>
    <n v="37742.575700000001"/>
  </r>
  <r>
    <n v="40"/>
    <s v="female"/>
    <n v="28.69"/>
    <x v="2"/>
    <s v="no"/>
    <s v="northwest"/>
    <n v="8059.6791000000003"/>
  </r>
  <r>
    <n v="58"/>
    <s v="male"/>
    <n v="36.954999999999998"/>
    <x v="3"/>
    <s v="yes"/>
    <s v="northwest"/>
    <n v="47496.494449999998"/>
  </r>
  <r>
    <n v="58"/>
    <s v="female"/>
    <n v="31.824999999999999"/>
    <x v="3"/>
    <s v="no"/>
    <s v="northeast"/>
    <n v="13607.36875"/>
  </r>
  <r>
    <n v="18"/>
    <s v="male"/>
    <n v="31.68"/>
    <x v="3"/>
    <s v="yes"/>
    <s v="southeast"/>
    <n v="34303.167200000004"/>
  </r>
  <r>
    <n v="53"/>
    <s v="female"/>
    <n v="22.88"/>
    <x v="1"/>
    <s v="yes"/>
    <s v="southeast"/>
    <n v="23244.790199999999"/>
  </r>
  <r>
    <n v="34"/>
    <s v="female"/>
    <n v="37.335000000000001"/>
    <x v="3"/>
    <s v="no"/>
    <s v="northwest"/>
    <n v="5989.5236500000001"/>
  </r>
  <r>
    <n v="43"/>
    <s v="male"/>
    <n v="27.36"/>
    <x v="2"/>
    <s v="no"/>
    <s v="northeast"/>
    <n v="8606.2173999999995"/>
  </r>
  <r>
    <n v="25"/>
    <s v="male"/>
    <n v="33.659999999999997"/>
    <x v="5"/>
    <s v="no"/>
    <s v="southeast"/>
    <n v="4504.6624000000002"/>
  </r>
  <r>
    <n v="64"/>
    <s v="male"/>
    <n v="24.7"/>
    <x v="1"/>
    <s v="no"/>
    <s v="northwest"/>
    <n v="30166.618170000002"/>
  </r>
  <r>
    <n v="28"/>
    <s v="female"/>
    <n v="25.934999999999999"/>
    <x v="1"/>
    <s v="no"/>
    <s v="northwest"/>
    <n v="4133.6416499999996"/>
  </r>
  <r>
    <n v="20"/>
    <s v="female"/>
    <n v="22.42"/>
    <x v="0"/>
    <s v="yes"/>
    <s v="northwest"/>
    <n v="14711.7438"/>
  </r>
  <r>
    <n v="19"/>
    <s v="female"/>
    <n v="28.9"/>
    <x v="0"/>
    <s v="no"/>
    <s v="southwest"/>
    <n v="1743.2139999999999"/>
  </r>
  <r>
    <n v="61"/>
    <s v="female"/>
    <n v="39.1"/>
    <x v="3"/>
    <s v="no"/>
    <s v="southwest"/>
    <n v="14235.072"/>
  </r>
  <r>
    <n v="40"/>
    <s v="male"/>
    <n v="26.315000000000001"/>
    <x v="1"/>
    <s v="no"/>
    <s v="northwest"/>
    <n v="6389.3778499999999"/>
  </r>
  <r>
    <n v="40"/>
    <s v="female"/>
    <n v="36.19"/>
    <x v="0"/>
    <s v="no"/>
    <s v="southeast"/>
    <n v="5920.1040999999996"/>
  </r>
  <r>
    <n v="28"/>
    <s v="male"/>
    <n v="23.98"/>
    <x v="2"/>
    <s v="yes"/>
    <s v="southeast"/>
    <n v="17663.144199999999"/>
  </r>
  <r>
    <n v="27"/>
    <s v="female"/>
    <n v="24.75"/>
    <x v="0"/>
    <s v="yes"/>
    <s v="southeast"/>
    <n v="16577.779500000001"/>
  </r>
  <r>
    <n v="31"/>
    <s v="male"/>
    <n v="28.5"/>
    <x v="4"/>
    <s v="no"/>
    <s v="northeast"/>
    <n v="6799.4579999999996"/>
  </r>
  <r>
    <n v="53"/>
    <s v="female"/>
    <n v="28.1"/>
    <x v="2"/>
    <s v="no"/>
    <s v="southwest"/>
    <n v="11741.726000000001"/>
  </r>
  <r>
    <n v="58"/>
    <s v="male"/>
    <n v="32.01"/>
    <x v="1"/>
    <s v="no"/>
    <s v="southeast"/>
    <n v="11946.625899999999"/>
  </r>
  <r>
    <n v="44"/>
    <s v="male"/>
    <n v="27.4"/>
    <x v="3"/>
    <s v="no"/>
    <s v="southwest"/>
    <n v="7726.8540000000003"/>
  </r>
  <r>
    <n v="57"/>
    <s v="male"/>
    <n v="34.01"/>
    <x v="0"/>
    <s v="no"/>
    <s v="northwest"/>
    <n v="11356.660900000001"/>
  </r>
  <r>
    <n v="29"/>
    <s v="female"/>
    <n v="29.59"/>
    <x v="1"/>
    <s v="no"/>
    <s v="southeast"/>
    <n v="3947.4131000000002"/>
  </r>
  <r>
    <n v="21"/>
    <s v="male"/>
    <n v="35.53"/>
    <x v="0"/>
    <s v="no"/>
    <s v="southeast"/>
    <n v="1532.4697000000001"/>
  </r>
  <r>
    <n v="22"/>
    <s v="female"/>
    <n v="39.805"/>
    <x v="0"/>
    <s v="no"/>
    <s v="northeast"/>
    <n v="2755.0209500000001"/>
  </r>
  <r>
    <n v="41"/>
    <s v="female"/>
    <n v="32.965000000000003"/>
    <x v="0"/>
    <s v="no"/>
    <s v="northwest"/>
    <n v="6571.0243499999997"/>
  </r>
  <r>
    <n v="31"/>
    <s v="male"/>
    <n v="26.885000000000002"/>
    <x v="1"/>
    <s v="no"/>
    <s v="northeast"/>
    <n v="4441.2131499999996"/>
  </r>
  <r>
    <n v="45"/>
    <s v="female"/>
    <n v="38.284999999999997"/>
    <x v="0"/>
    <s v="no"/>
    <s v="northeast"/>
    <n v="7935.29115"/>
  </r>
  <r>
    <n v="22"/>
    <s v="male"/>
    <n v="37.619999999999997"/>
    <x v="1"/>
    <s v="yes"/>
    <s v="southeast"/>
    <n v="37165.163800000002"/>
  </r>
  <r>
    <n v="48"/>
    <s v="female"/>
    <n v="41.23"/>
    <x v="5"/>
    <s v="no"/>
    <s v="northwest"/>
    <n v="11033.661700000001"/>
  </r>
  <r>
    <n v="37"/>
    <s v="female"/>
    <n v="34.799999999999997"/>
    <x v="3"/>
    <s v="yes"/>
    <s v="southwest"/>
    <n v="39836.519"/>
  </r>
  <r>
    <n v="45"/>
    <s v="male"/>
    <n v="22.895"/>
    <x v="3"/>
    <s v="yes"/>
    <s v="northwest"/>
    <n v="21098.554049999999"/>
  </r>
  <r>
    <n v="57"/>
    <s v="female"/>
    <n v="31.16"/>
    <x v="0"/>
    <s v="yes"/>
    <s v="northwest"/>
    <n v="43578.939400000003"/>
  </r>
  <r>
    <n v="56"/>
    <s v="female"/>
    <n v="27.2"/>
    <x v="0"/>
    <s v="no"/>
    <s v="southwest"/>
    <n v="11073.175999999999"/>
  </r>
  <r>
    <n v="46"/>
    <s v="female"/>
    <n v="27.74"/>
    <x v="0"/>
    <s v="no"/>
    <s v="northwest"/>
    <n v="8026.6665999999996"/>
  </r>
  <r>
    <n v="55"/>
    <s v="female"/>
    <n v="26.98"/>
    <x v="0"/>
    <s v="no"/>
    <s v="northwest"/>
    <n v="11082.5772"/>
  </r>
  <r>
    <n v="21"/>
    <s v="female"/>
    <n v="39.49"/>
    <x v="0"/>
    <s v="no"/>
    <s v="southeast"/>
    <n v="2026.9740999999999"/>
  </r>
  <r>
    <n v="53"/>
    <s v="female"/>
    <n v="24.795000000000002"/>
    <x v="1"/>
    <s v="no"/>
    <s v="northwest"/>
    <n v="10942.13205"/>
  </r>
  <r>
    <n v="59"/>
    <s v="male"/>
    <n v="29.83"/>
    <x v="2"/>
    <s v="yes"/>
    <s v="northeast"/>
    <n v="30184.936699999998"/>
  </r>
  <r>
    <n v="35"/>
    <s v="male"/>
    <n v="34.770000000000003"/>
    <x v="3"/>
    <s v="no"/>
    <s v="northwest"/>
    <n v="5729.0052999999998"/>
  </r>
  <r>
    <n v="64"/>
    <s v="female"/>
    <n v="31.3"/>
    <x v="3"/>
    <s v="yes"/>
    <s v="southwest"/>
    <n v="47291.055"/>
  </r>
  <r>
    <n v="28"/>
    <s v="female"/>
    <n v="37.619999999999997"/>
    <x v="1"/>
    <s v="no"/>
    <s v="southeast"/>
    <n v="3766.8838000000001"/>
  </r>
  <r>
    <n v="54"/>
    <s v="female"/>
    <n v="30.8"/>
    <x v="2"/>
    <s v="no"/>
    <s v="southwest"/>
    <n v="12105.32"/>
  </r>
  <r>
    <n v="55"/>
    <s v="male"/>
    <n v="38.28"/>
    <x v="0"/>
    <s v="no"/>
    <s v="southeast"/>
    <n v="10226.2842"/>
  </r>
  <r>
    <n v="56"/>
    <s v="male"/>
    <n v="19.95"/>
    <x v="0"/>
    <s v="yes"/>
    <s v="northeast"/>
    <n v="22412.648499999999"/>
  </r>
  <r>
    <n v="38"/>
    <s v="male"/>
    <n v="19.3"/>
    <x v="0"/>
    <s v="yes"/>
    <s v="southwest"/>
    <n v="15820.699000000001"/>
  </r>
  <r>
    <n v="41"/>
    <s v="female"/>
    <n v="31.6"/>
    <x v="0"/>
    <s v="no"/>
    <s v="southwest"/>
    <n v="6186.1270000000004"/>
  </r>
  <r>
    <n v="30"/>
    <s v="male"/>
    <n v="25.46"/>
    <x v="0"/>
    <s v="no"/>
    <s v="northeast"/>
    <n v="3645.0893999999998"/>
  </r>
  <r>
    <n v="18"/>
    <s v="female"/>
    <n v="30.114999999999998"/>
    <x v="0"/>
    <s v="no"/>
    <s v="northeast"/>
    <n v="21344.846699999998"/>
  </r>
  <r>
    <n v="61"/>
    <s v="female"/>
    <n v="29.92"/>
    <x v="2"/>
    <s v="yes"/>
    <s v="southeast"/>
    <n v="30942.191800000001"/>
  </r>
  <r>
    <n v="34"/>
    <s v="female"/>
    <n v="27.5"/>
    <x v="1"/>
    <s v="no"/>
    <s v="southwest"/>
    <n v="5003.8530000000001"/>
  </r>
  <r>
    <n v="20"/>
    <s v="male"/>
    <n v="28.024999999999999"/>
    <x v="1"/>
    <s v="yes"/>
    <s v="northwest"/>
    <n v="17560.37975"/>
  </r>
  <r>
    <n v="19"/>
    <s v="female"/>
    <n v="28.4"/>
    <x v="1"/>
    <s v="no"/>
    <s v="southwest"/>
    <n v="2331.5189999999998"/>
  </r>
  <r>
    <n v="26"/>
    <s v="male"/>
    <n v="30.875"/>
    <x v="3"/>
    <s v="no"/>
    <s v="northwest"/>
    <n v="3877.3042500000001"/>
  </r>
  <r>
    <n v="29"/>
    <s v="male"/>
    <n v="27.94"/>
    <x v="0"/>
    <s v="no"/>
    <s v="southeast"/>
    <n v="2867.1196"/>
  </r>
  <r>
    <n v="63"/>
    <s v="male"/>
    <n v="35.090000000000003"/>
    <x v="0"/>
    <s v="yes"/>
    <s v="southeast"/>
    <n v="47055.532099999997"/>
  </r>
  <r>
    <n v="54"/>
    <s v="male"/>
    <n v="33.630000000000003"/>
    <x v="1"/>
    <s v="no"/>
    <s v="northwest"/>
    <n v="10825.253699999999"/>
  </r>
  <r>
    <n v="55"/>
    <s v="female"/>
    <n v="29.7"/>
    <x v="3"/>
    <s v="no"/>
    <s v="southwest"/>
    <n v="11881.358"/>
  </r>
  <r>
    <n v="37"/>
    <s v="male"/>
    <n v="30.8"/>
    <x v="0"/>
    <s v="no"/>
    <s v="southwest"/>
    <n v="4646.759"/>
  </r>
  <r>
    <n v="21"/>
    <s v="female"/>
    <n v="35.72"/>
    <x v="0"/>
    <s v="no"/>
    <s v="northwest"/>
    <n v="2404.7338"/>
  </r>
  <r>
    <n v="52"/>
    <s v="male"/>
    <n v="32.204999999999998"/>
    <x v="2"/>
    <s v="no"/>
    <s v="northeast"/>
    <n v="11488.31695"/>
  </r>
  <r>
    <n v="60"/>
    <s v="male"/>
    <n v="28.594999999999999"/>
    <x v="0"/>
    <s v="no"/>
    <s v="northeast"/>
    <n v="30259.995559999999"/>
  </r>
  <r>
    <n v="58"/>
    <s v="male"/>
    <n v="49.06"/>
    <x v="0"/>
    <s v="no"/>
    <s v="southeast"/>
    <n v="11381.3254"/>
  </r>
  <r>
    <n v="29"/>
    <s v="female"/>
    <n v="27.94"/>
    <x v="1"/>
    <s v="yes"/>
    <s v="southeast"/>
    <n v="19107.779600000002"/>
  </r>
  <r>
    <n v="49"/>
    <s v="female"/>
    <n v="27.17"/>
    <x v="0"/>
    <s v="no"/>
    <s v="southeast"/>
    <n v="8601.3292999999994"/>
  </r>
  <r>
    <n v="37"/>
    <s v="female"/>
    <n v="23.37"/>
    <x v="3"/>
    <s v="no"/>
    <s v="northwest"/>
    <n v="6686.4313000000002"/>
  </r>
  <r>
    <n v="44"/>
    <s v="male"/>
    <n v="37.1"/>
    <x v="3"/>
    <s v="no"/>
    <s v="southwest"/>
    <n v="7740.3370000000004"/>
  </r>
  <r>
    <n v="18"/>
    <s v="male"/>
    <n v="23.75"/>
    <x v="0"/>
    <s v="no"/>
    <s v="northeast"/>
    <n v="1705.6244999999999"/>
  </r>
  <r>
    <n v="20"/>
    <s v="female"/>
    <n v="28.975000000000001"/>
    <x v="0"/>
    <s v="no"/>
    <s v="northwest"/>
    <n v="2257.47525"/>
  </r>
  <r>
    <n v="44"/>
    <s v="male"/>
    <n v="31.35"/>
    <x v="1"/>
    <s v="yes"/>
    <s v="northeast"/>
    <n v="39556.494500000001"/>
  </r>
  <r>
    <n v="47"/>
    <s v="female"/>
    <n v="33.914999999999999"/>
    <x v="2"/>
    <s v="no"/>
    <s v="northwest"/>
    <n v="10115.00885"/>
  </r>
  <r>
    <n v="26"/>
    <s v="female"/>
    <n v="28.785"/>
    <x v="0"/>
    <s v="no"/>
    <s v="northeast"/>
    <n v="3385.3991500000002"/>
  </r>
  <r>
    <n v="19"/>
    <s v="female"/>
    <n v="28.3"/>
    <x v="0"/>
    <s v="yes"/>
    <s v="southwest"/>
    <n v="17081.080000000002"/>
  </r>
  <r>
    <n v="52"/>
    <s v="female"/>
    <n v="37.4"/>
    <x v="0"/>
    <s v="no"/>
    <s v="southwest"/>
    <n v="9634.5380000000005"/>
  </r>
  <r>
    <n v="32"/>
    <s v="female"/>
    <n v="17.765000000000001"/>
    <x v="3"/>
    <s v="yes"/>
    <s v="northwest"/>
    <n v="32734.186300000001"/>
  </r>
  <r>
    <n v="38"/>
    <s v="male"/>
    <n v="34.700000000000003"/>
    <x v="3"/>
    <s v="no"/>
    <s v="southwest"/>
    <n v="6082.4049999999997"/>
  </r>
  <r>
    <n v="59"/>
    <s v="female"/>
    <n v="26.504999999999999"/>
    <x v="0"/>
    <s v="no"/>
    <s v="northeast"/>
    <n v="12815.444949999999"/>
  </r>
  <r>
    <n v="61"/>
    <s v="female"/>
    <n v="22.04"/>
    <x v="0"/>
    <s v="no"/>
    <s v="northeast"/>
    <n v="13616.3586"/>
  </r>
  <r>
    <n v="53"/>
    <s v="female"/>
    <n v="35.9"/>
    <x v="3"/>
    <s v="no"/>
    <s v="southwest"/>
    <n v="11163.567999999999"/>
  </r>
  <r>
    <n v="19"/>
    <s v="male"/>
    <n v="25.555"/>
    <x v="0"/>
    <s v="no"/>
    <s v="northwest"/>
    <n v="1632.5644500000001"/>
  </r>
  <r>
    <n v="20"/>
    <s v="female"/>
    <n v="28.785"/>
    <x v="0"/>
    <s v="no"/>
    <s v="northeast"/>
    <n v="2457.2111500000001"/>
  </r>
  <r>
    <n v="22"/>
    <s v="female"/>
    <n v="28.05"/>
    <x v="0"/>
    <s v="no"/>
    <s v="southeast"/>
    <n v="2155.6815000000001"/>
  </r>
  <r>
    <n v="19"/>
    <s v="male"/>
    <n v="34.1"/>
    <x v="0"/>
    <s v="no"/>
    <s v="southwest"/>
    <n v="1261.442"/>
  </r>
  <r>
    <n v="22"/>
    <s v="male"/>
    <n v="25.175000000000001"/>
    <x v="0"/>
    <s v="no"/>
    <s v="northwest"/>
    <n v="2045.68525"/>
  </r>
  <r>
    <n v="54"/>
    <s v="female"/>
    <n v="31.9"/>
    <x v="2"/>
    <s v="no"/>
    <s v="southeast"/>
    <n v="27322.73386"/>
  </r>
  <r>
    <n v="22"/>
    <s v="female"/>
    <n v="36"/>
    <x v="0"/>
    <s v="no"/>
    <s v="southwest"/>
    <n v="2166.732"/>
  </r>
  <r>
    <n v="34"/>
    <s v="male"/>
    <n v="22.42"/>
    <x v="3"/>
    <s v="no"/>
    <s v="northeast"/>
    <n v="27375.904780000001"/>
  </r>
  <r>
    <n v="26"/>
    <s v="male"/>
    <n v="32.49"/>
    <x v="1"/>
    <s v="no"/>
    <s v="northeast"/>
    <n v="3490.5491000000002"/>
  </r>
  <r>
    <n v="34"/>
    <s v="male"/>
    <n v="25.3"/>
    <x v="3"/>
    <s v="yes"/>
    <s v="southeast"/>
    <n v="18972.494999999999"/>
  </r>
  <r>
    <n v="29"/>
    <s v="male"/>
    <n v="29.734999999999999"/>
    <x v="3"/>
    <s v="no"/>
    <s v="northwest"/>
    <n v="18157.876"/>
  </r>
  <r>
    <n v="30"/>
    <s v="male"/>
    <n v="28.69"/>
    <x v="2"/>
    <s v="yes"/>
    <s v="northwest"/>
    <n v="20745.989099999999"/>
  </r>
  <r>
    <n v="29"/>
    <s v="female"/>
    <n v="38.83"/>
    <x v="2"/>
    <s v="no"/>
    <s v="southeast"/>
    <n v="5138.2566999999999"/>
  </r>
  <r>
    <n v="46"/>
    <s v="male"/>
    <n v="30.495000000000001"/>
    <x v="2"/>
    <s v="yes"/>
    <s v="northwest"/>
    <n v="40720.551050000002"/>
  </r>
  <r>
    <n v="51"/>
    <s v="female"/>
    <n v="37.729999999999997"/>
    <x v="1"/>
    <s v="no"/>
    <s v="southeast"/>
    <n v="9877.6077000000005"/>
  </r>
  <r>
    <n v="53"/>
    <s v="female"/>
    <n v="37.43"/>
    <x v="1"/>
    <s v="no"/>
    <s v="northwest"/>
    <n v="10959.6947"/>
  </r>
  <r>
    <n v="19"/>
    <s v="male"/>
    <n v="28.4"/>
    <x v="1"/>
    <s v="no"/>
    <s v="southwest"/>
    <n v="1842.519"/>
  </r>
  <r>
    <n v="35"/>
    <s v="male"/>
    <n v="24.13"/>
    <x v="1"/>
    <s v="no"/>
    <s v="northwest"/>
    <n v="5125.2156999999997"/>
  </r>
  <r>
    <n v="48"/>
    <s v="male"/>
    <n v="29.7"/>
    <x v="0"/>
    <s v="no"/>
    <s v="southeast"/>
    <n v="7789.6350000000002"/>
  </r>
  <r>
    <n v="32"/>
    <s v="female"/>
    <n v="37.145000000000003"/>
    <x v="2"/>
    <s v="no"/>
    <s v="northeast"/>
    <n v="6334.3435499999996"/>
  </r>
  <r>
    <n v="42"/>
    <s v="female"/>
    <n v="23.37"/>
    <x v="0"/>
    <s v="yes"/>
    <s v="northeast"/>
    <n v="19964.746299999999"/>
  </r>
  <r>
    <n v="40"/>
    <s v="female"/>
    <n v="25.46"/>
    <x v="1"/>
    <s v="no"/>
    <s v="northeast"/>
    <n v="7077.1894000000002"/>
  </r>
  <r>
    <n v="44"/>
    <s v="male"/>
    <n v="39.520000000000003"/>
    <x v="0"/>
    <s v="no"/>
    <s v="northwest"/>
    <n v="6948.7007999999996"/>
  </r>
  <r>
    <n v="48"/>
    <s v="male"/>
    <n v="24.42"/>
    <x v="0"/>
    <s v="yes"/>
    <s v="southeast"/>
    <n v="21223.675800000001"/>
  </r>
  <r>
    <n v="18"/>
    <s v="male"/>
    <n v="25.175000000000001"/>
    <x v="0"/>
    <s v="yes"/>
    <s v="northeast"/>
    <n v="15518.180249999999"/>
  </r>
  <r>
    <n v="30"/>
    <s v="male"/>
    <n v="35.53"/>
    <x v="0"/>
    <s v="yes"/>
    <s v="southeast"/>
    <n v="36950.256699999998"/>
  </r>
  <r>
    <n v="50"/>
    <s v="female"/>
    <n v="27.83"/>
    <x v="2"/>
    <s v="no"/>
    <s v="southeast"/>
    <n v="19749.383379999999"/>
  </r>
  <r>
    <n v="42"/>
    <s v="female"/>
    <n v="26.6"/>
    <x v="0"/>
    <s v="yes"/>
    <s v="northwest"/>
    <n v="21348.705999999998"/>
  </r>
  <r>
    <n v="18"/>
    <s v="female"/>
    <n v="36.85"/>
    <x v="0"/>
    <s v="yes"/>
    <s v="southeast"/>
    <n v="36149.483500000002"/>
  </r>
  <r>
    <n v="54"/>
    <s v="male"/>
    <n v="39.6"/>
    <x v="1"/>
    <s v="no"/>
    <s v="southwest"/>
    <n v="10450.552"/>
  </r>
  <r>
    <n v="32"/>
    <s v="female"/>
    <n v="29.8"/>
    <x v="3"/>
    <s v="no"/>
    <s v="southwest"/>
    <n v="5152.134"/>
  </r>
  <r>
    <n v="37"/>
    <s v="male"/>
    <n v="29.64"/>
    <x v="0"/>
    <s v="no"/>
    <s v="northwest"/>
    <n v="5028.1466"/>
  </r>
  <r>
    <n v="47"/>
    <s v="male"/>
    <n v="28.215"/>
    <x v="5"/>
    <s v="no"/>
    <s v="northeast"/>
    <n v="10407.085849999999"/>
  </r>
  <r>
    <n v="20"/>
    <s v="female"/>
    <n v="37"/>
    <x v="4"/>
    <s v="no"/>
    <s v="southwest"/>
    <n v="4830.63"/>
  </r>
  <r>
    <n v="32"/>
    <s v="female"/>
    <n v="33.155000000000001"/>
    <x v="2"/>
    <s v="no"/>
    <s v="northwest"/>
    <n v="6128.79745"/>
  </r>
  <r>
    <n v="19"/>
    <s v="female"/>
    <n v="31.824999999999999"/>
    <x v="1"/>
    <s v="no"/>
    <s v="northwest"/>
    <n v="2719.2797500000001"/>
  </r>
  <r>
    <n v="27"/>
    <s v="male"/>
    <n v="18.905000000000001"/>
    <x v="2"/>
    <s v="no"/>
    <s v="northeast"/>
    <n v="4827.9049500000001"/>
  </r>
  <r>
    <n v="63"/>
    <s v="male"/>
    <n v="41.47"/>
    <x v="0"/>
    <s v="no"/>
    <s v="southeast"/>
    <n v="13405.390299999999"/>
  </r>
  <r>
    <n v="49"/>
    <s v="male"/>
    <n v="30.3"/>
    <x v="0"/>
    <s v="no"/>
    <s v="southwest"/>
    <n v="8116.68"/>
  </r>
  <r>
    <n v="18"/>
    <s v="male"/>
    <n v="15.96"/>
    <x v="0"/>
    <s v="no"/>
    <s v="northeast"/>
    <n v="1694.7963999999999"/>
  </r>
  <r>
    <n v="35"/>
    <s v="female"/>
    <n v="34.799999999999997"/>
    <x v="1"/>
    <s v="no"/>
    <s v="southwest"/>
    <n v="5246.0469999999996"/>
  </r>
  <r>
    <n v="24"/>
    <s v="female"/>
    <n v="33.344999999999999"/>
    <x v="0"/>
    <s v="no"/>
    <s v="northwest"/>
    <n v="2855.4375500000001"/>
  </r>
  <r>
    <n v="63"/>
    <s v="female"/>
    <n v="37.700000000000003"/>
    <x v="0"/>
    <s v="yes"/>
    <s v="southwest"/>
    <n v="48824.45"/>
  </r>
  <r>
    <n v="38"/>
    <s v="male"/>
    <n v="27.835000000000001"/>
    <x v="3"/>
    <s v="no"/>
    <s v="northwest"/>
    <n v="6455.86265"/>
  </r>
  <r>
    <n v="54"/>
    <s v="male"/>
    <n v="29.2"/>
    <x v="1"/>
    <s v="no"/>
    <s v="southwest"/>
    <n v="10436.096"/>
  </r>
  <r>
    <n v="46"/>
    <s v="female"/>
    <n v="28.9"/>
    <x v="3"/>
    <s v="no"/>
    <s v="southwest"/>
    <n v="8823.2790000000005"/>
  </r>
  <r>
    <n v="41"/>
    <s v="female"/>
    <n v="33.155000000000001"/>
    <x v="2"/>
    <s v="no"/>
    <s v="northeast"/>
    <n v="8538.28845"/>
  </r>
  <r>
    <n v="58"/>
    <s v="male"/>
    <n v="28.594999999999999"/>
    <x v="0"/>
    <s v="no"/>
    <s v="northwest"/>
    <n v="11735.87905"/>
  </r>
  <r>
    <n v="18"/>
    <s v="female"/>
    <n v="38.28"/>
    <x v="0"/>
    <s v="no"/>
    <s v="southeast"/>
    <n v="1631.8212000000001"/>
  </r>
  <r>
    <n v="22"/>
    <s v="male"/>
    <n v="19.95"/>
    <x v="2"/>
    <s v="no"/>
    <s v="northeast"/>
    <n v="4005.4225000000001"/>
  </r>
  <r>
    <n v="44"/>
    <s v="female"/>
    <n v="26.41"/>
    <x v="0"/>
    <s v="no"/>
    <s v="northwest"/>
    <n v="7419.4778999999999"/>
  </r>
  <r>
    <n v="44"/>
    <s v="male"/>
    <n v="30.69"/>
    <x v="3"/>
    <s v="no"/>
    <s v="southeast"/>
    <n v="7731.4270999999999"/>
  </r>
  <r>
    <n v="36"/>
    <s v="male"/>
    <n v="41.895000000000003"/>
    <x v="2"/>
    <s v="yes"/>
    <s v="northeast"/>
    <n v="43753.337050000002"/>
  </r>
  <r>
    <n v="26"/>
    <s v="female"/>
    <n v="29.92"/>
    <x v="3"/>
    <s v="no"/>
    <s v="southeast"/>
    <n v="3981.9767999999999"/>
  </r>
  <r>
    <n v="30"/>
    <s v="female"/>
    <n v="30.9"/>
    <x v="2"/>
    <s v="no"/>
    <s v="southwest"/>
    <n v="5325.6509999999998"/>
  </r>
  <r>
    <n v="41"/>
    <s v="female"/>
    <n v="32.200000000000003"/>
    <x v="1"/>
    <s v="no"/>
    <s v="southwest"/>
    <n v="6775.9610000000002"/>
  </r>
  <r>
    <n v="29"/>
    <s v="female"/>
    <n v="32.11"/>
    <x v="3"/>
    <s v="no"/>
    <s v="northwest"/>
    <n v="4922.9159"/>
  </r>
  <r>
    <n v="61"/>
    <s v="male"/>
    <n v="31.57"/>
    <x v="0"/>
    <s v="no"/>
    <s v="southeast"/>
    <n v="12557.605299999999"/>
  </r>
  <r>
    <n v="36"/>
    <s v="female"/>
    <n v="26.2"/>
    <x v="0"/>
    <s v="no"/>
    <s v="southwest"/>
    <n v="4883.866"/>
  </r>
  <r>
    <n v="25"/>
    <s v="male"/>
    <n v="25.74"/>
    <x v="0"/>
    <s v="no"/>
    <s v="southeast"/>
    <n v="2137.6536000000001"/>
  </r>
  <r>
    <n v="56"/>
    <s v="female"/>
    <n v="26.6"/>
    <x v="1"/>
    <s v="no"/>
    <s v="northwest"/>
    <n v="12044.342000000001"/>
  </r>
  <r>
    <n v="18"/>
    <s v="male"/>
    <n v="34.43"/>
    <x v="0"/>
    <s v="no"/>
    <s v="southeast"/>
    <n v="1137.4697000000001"/>
  </r>
  <r>
    <n v="19"/>
    <s v="male"/>
    <n v="30.59"/>
    <x v="0"/>
    <s v="no"/>
    <s v="northwest"/>
    <n v="1639.5631000000001"/>
  </r>
  <r>
    <n v="39"/>
    <s v="female"/>
    <n v="32.799999999999997"/>
    <x v="0"/>
    <s v="no"/>
    <s v="southwest"/>
    <n v="5649.7150000000001"/>
  </r>
  <r>
    <n v="45"/>
    <s v="female"/>
    <n v="28.6"/>
    <x v="3"/>
    <s v="no"/>
    <s v="southeast"/>
    <n v="8516.8289999999997"/>
  </r>
  <r>
    <n v="51"/>
    <s v="female"/>
    <n v="18.05"/>
    <x v="0"/>
    <s v="no"/>
    <s v="northwest"/>
    <n v="9644.2525000000005"/>
  </r>
  <r>
    <n v="64"/>
    <s v="female"/>
    <n v="39.33"/>
    <x v="0"/>
    <s v="no"/>
    <s v="northeast"/>
    <n v="14901.5167"/>
  </r>
  <r>
    <n v="19"/>
    <s v="female"/>
    <n v="32.11"/>
    <x v="0"/>
    <s v="no"/>
    <s v="northwest"/>
    <n v="2130.6759000000002"/>
  </r>
  <r>
    <n v="48"/>
    <s v="female"/>
    <n v="32.229999999999997"/>
    <x v="1"/>
    <s v="no"/>
    <s v="southeast"/>
    <n v="8871.1517000000003"/>
  </r>
  <r>
    <n v="60"/>
    <s v="female"/>
    <n v="24.035"/>
    <x v="0"/>
    <s v="no"/>
    <s v="northwest"/>
    <n v="13012.20865"/>
  </r>
  <r>
    <n v="27"/>
    <s v="female"/>
    <n v="36.08"/>
    <x v="0"/>
    <s v="yes"/>
    <s v="southeast"/>
    <n v="37133.898200000003"/>
  </r>
  <r>
    <n v="46"/>
    <s v="male"/>
    <n v="22.3"/>
    <x v="0"/>
    <s v="no"/>
    <s v="southwest"/>
    <n v="7147.1049999999996"/>
  </r>
  <r>
    <n v="28"/>
    <s v="female"/>
    <n v="28.88"/>
    <x v="1"/>
    <s v="no"/>
    <s v="northeast"/>
    <n v="4337.7352000000001"/>
  </r>
  <r>
    <n v="59"/>
    <s v="male"/>
    <n v="26.4"/>
    <x v="0"/>
    <s v="no"/>
    <s v="southeast"/>
    <n v="11743.299000000001"/>
  </r>
  <r>
    <n v="35"/>
    <s v="male"/>
    <n v="27.74"/>
    <x v="3"/>
    <s v="yes"/>
    <s v="northeast"/>
    <n v="20984.0936"/>
  </r>
  <r>
    <n v="63"/>
    <s v="female"/>
    <n v="31.8"/>
    <x v="0"/>
    <s v="no"/>
    <s v="southwest"/>
    <n v="13880.949000000001"/>
  </r>
  <r>
    <n v="40"/>
    <s v="male"/>
    <n v="41.23"/>
    <x v="1"/>
    <s v="no"/>
    <s v="northeast"/>
    <n v="6610.1097"/>
  </r>
  <r>
    <n v="20"/>
    <s v="male"/>
    <n v="33"/>
    <x v="1"/>
    <s v="no"/>
    <s v="southwest"/>
    <n v="1980.07"/>
  </r>
  <r>
    <n v="40"/>
    <s v="male"/>
    <n v="30.875"/>
    <x v="5"/>
    <s v="no"/>
    <s v="northwest"/>
    <n v="8162.7162500000004"/>
  </r>
  <r>
    <n v="24"/>
    <s v="male"/>
    <n v="28.5"/>
    <x v="3"/>
    <s v="no"/>
    <s v="northwest"/>
    <n v="3537.703"/>
  </r>
  <r>
    <n v="34"/>
    <s v="female"/>
    <n v="26.73"/>
    <x v="1"/>
    <s v="no"/>
    <s v="southeast"/>
    <n v="5002.7826999999997"/>
  </r>
  <r>
    <n v="45"/>
    <s v="female"/>
    <n v="30.9"/>
    <x v="3"/>
    <s v="no"/>
    <s v="southwest"/>
    <n v="8520.0259999999998"/>
  </r>
  <r>
    <n v="41"/>
    <s v="female"/>
    <n v="37.1"/>
    <x v="3"/>
    <s v="no"/>
    <s v="southwest"/>
    <n v="7371.7719999999999"/>
  </r>
  <r>
    <n v="53"/>
    <s v="female"/>
    <n v="26.6"/>
    <x v="0"/>
    <s v="no"/>
    <s v="northwest"/>
    <n v="10355.641"/>
  </r>
  <r>
    <n v="27"/>
    <s v="male"/>
    <n v="23.1"/>
    <x v="0"/>
    <s v="no"/>
    <s v="southeast"/>
    <n v="2483.7359999999999"/>
  </r>
  <r>
    <n v="26"/>
    <s v="female"/>
    <n v="29.92"/>
    <x v="1"/>
    <s v="no"/>
    <s v="southeast"/>
    <n v="3392.9767999999999"/>
  </r>
  <r>
    <n v="24"/>
    <s v="female"/>
    <n v="23.21"/>
    <x v="0"/>
    <s v="no"/>
    <s v="southeast"/>
    <n v="25081.76784"/>
  </r>
  <r>
    <n v="34"/>
    <s v="female"/>
    <n v="33.700000000000003"/>
    <x v="1"/>
    <s v="no"/>
    <s v="southwest"/>
    <n v="5012.4709999999995"/>
  </r>
  <r>
    <n v="53"/>
    <s v="female"/>
    <n v="33.25"/>
    <x v="0"/>
    <s v="no"/>
    <s v="northeast"/>
    <n v="10564.8845"/>
  </r>
  <r>
    <n v="32"/>
    <s v="male"/>
    <n v="30.8"/>
    <x v="2"/>
    <s v="no"/>
    <s v="southwest"/>
    <n v="5253.5240000000003"/>
  </r>
  <r>
    <n v="19"/>
    <s v="male"/>
    <n v="34.799999999999997"/>
    <x v="0"/>
    <s v="yes"/>
    <s v="southwest"/>
    <n v="34779.614999999998"/>
  </r>
  <r>
    <n v="42"/>
    <s v="male"/>
    <n v="24.64"/>
    <x v="0"/>
    <s v="yes"/>
    <s v="southeast"/>
    <n v="19515.5416"/>
  </r>
  <r>
    <n v="55"/>
    <s v="male"/>
    <n v="33.880000000000003"/>
    <x v="2"/>
    <s v="no"/>
    <s v="southeast"/>
    <n v="11987.1682"/>
  </r>
  <r>
    <n v="28"/>
    <s v="male"/>
    <n v="38.06"/>
    <x v="0"/>
    <s v="no"/>
    <s v="southeast"/>
    <n v="2689.4953999999998"/>
  </r>
  <r>
    <n v="58"/>
    <s v="female"/>
    <n v="41.91"/>
    <x v="0"/>
    <s v="no"/>
    <s v="southeast"/>
    <n v="24227.337240000001"/>
  </r>
  <r>
    <n v="41"/>
    <s v="female"/>
    <n v="31.635000000000002"/>
    <x v="1"/>
    <s v="no"/>
    <s v="northeast"/>
    <n v="7358.1756500000001"/>
  </r>
  <r>
    <n v="47"/>
    <s v="male"/>
    <n v="25.46"/>
    <x v="3"/>
    <s v="no"/>
    <s v="northeast"/>
    <n v="9225.2564000000002"/>
  </r>
  <r>
    <n v="42"/>
    <s v="female"/>
    <n v="36.195"/>
    <x v="1"/>
    <s v="no"/>
    <s v="northwest"/>
    <n v="7443.6430499999997"/>
  </r>
  <r>
    <n v="59"/>
    <s v="female"/>
    <n v="27.83"/>
    <x v="2"/>
    <s v="no"/>
    <s v="southeast"/>
    <n v="14001.286700000001"/>
  </r>
  <r>
    <n v="19"/>
    <s v="female"/>
    <n v="17.8"/>
    <x v="0"/>
    <s v="no"/>
    <s v="southwest"/>
    <n v="1727.7850000000001"/>
  </r>
  <r>
    <n v="59"/>
    <s v="male"/>
    <n v="27.5"/>
    <x v="1"/>
    <s v="no"/>
    <s v="southwest"/>
    <n v="12333.828"/>
  </r>
  <r>
    <n v="39"/>
    <s v="male"/>
    <n v="24.51"/>
    <x v="3"/>
    <s v="no"/>
    <s v="northwest"/>
    <n v="6710.1918999999998"/>
  </r>
  <r>
    <n v="40"/>
    <s v="female"/>
    <n v="22.22"/>
    <x v="3"/>
    <s v="yes"/>
    <s v="southeast"/>
    <n v="19444.265800000001"/>
  </r>
  <r>
    <n v="18"/>
    <s v="female"/>
    <n v="26.73"/>
    <x v="0"/>
    <s v="no"/>
    <s v="southeast"/>
    <n v="1615.7666999999999"/>
  </r>
  <r>
    <n v="31"/>
    <s v="male"/>
    <n v="38.39"/>
    <x v="3"/>
    <s v="no"/>
    <s v="southeast"/>
    <n v="4463.2051000000001"/>
  </r>
  <r>
    <n v="19"/>
    <s v="male"/>
    <n v="29.07"/>
    <x v="0"/>
    <s v="yes"/>
    <s v="northwest"/>
    <n v="17352.6803"/>
  </r>
  <r>
    <n v="44"/>
    <s v="male"/>
    <n v="38.06"/>
    <x v="1"/>
    <s v="no"/>
    <s v="southeast"/>
    <n v="7152.6714000000002"/>
  </r>
  <r>
    <n v="23"/>
    <s v="female"/>
    <n v="36.67"/>
    <x v="3"/>
    <s v="yes"/>
    <s v="northeast"/>
    <n v="38511.628299999997"/>
  </r>
  <r>
    <n v="33"/>
    <s v="female"/>
    <n v="22.135000000000002"/>
    <x v="1"/>
    <s v="no"/>
    <s v="northeast"/>
    <n v="5354.0746499999996"/>
  </r>
  <r>
    <n v="55"/>
    <s v="female"/>
    <n v="26.8"/>
    <x v="1"/>
    <s v="no"/>
    <s v="southwest"/>
    <n v="35160.134570000002"/>
  </r>
  <r>
    <n v="40"/>
    <s v="male"/>
    <n v="35.299999999999997"/>
    <x v="2"/>
    <s v="no"/>
    <s v="southwest"/>
    <n v="7196.8670000000002"/>
  </r>
  <r>
    <n v="63"/>
    <s v="female"/>
    <n v="27.74"/>
    <x v="0"/>
    <s v="yes"/>
    <s v="northeast"/>
    <n v="29523.1656"/>
  </r>
  <r>
    <n v="54"/>
    <s v="male"/>
    <n v="30.02"/>
    <x v="0"/>
    <s v="no"/>
    <s v="northwest"/>
    <n v="24476.478510000001"/>
  </r>
  <r>
    <n v="60"/>
    <s v="female"/>
    <n v="38.06"/>
    <x v="0"/>
    <s v="no"/>
    <s v="southeast"/>
    <n v="12648.7034"/>
  </r>
  <r>
    <n v="24"/>
    <s v="male"/>
    <n v="35.86"/>
    <x v="0"/>
    <s v="no"/>
    <s v="southeast"/>
    <n v="1986.9333999999999"/>
  </r>
  <r>
    <n v="19"/>
    <s v="male"/>
    <n v="20.9"/>
    <x v="1"/>
    <s v="no"/>
    <s v="southwest"/>
    <n v="1832.0940000000001"/>
  </r>
  <r>
    <n v="29"/>
    <s v="male"/>
    <n v="28.975000000000001"/>
    <x v="1"/>
    <s v="no"/>
    <s v="northeast"/>
    <n v="4040.55825"/>
  </r>
  <r>
    <n v="18"/>
    <s v="male"/>
    <n v="17.29"/>
    <x v="3"/>
    <s v="yes"/>
    <s v="northeast"/>
    <n v="12829.455099999999"/>
  </r>
  <r>
    <n v="63"/>
    <s v="female"/>
    <n v="32.200000000000003"/>
    <x v="3"/>
    <s v="yes"/>
    <s v="southwest"/>
    <n v="47305.305"/>
  </r>
  <r>
    <n v="54"/>
    <s v="male"/>
    <n v="34.21"/>
    <x v="3"/>
    <s v="yes"/>
    <s v="southeast"/>
    <n v="44260.749900000003"/>
  </r>
  <r>
    <n v="27"/>
    <s v="male"/>
    <n v="30.3"/>
    <x v="2"/>
    <s v="no"/>
    <s v="southwest"/>
    <n v="4260.7439999999997"/>
  </r>
  <r>
    <n v="50"/>
    <s v="male"/>
    <n v="31.824999999999999"/>
    <x v="0"/>
    <s v="yes"/>
    <s v="northeast"/>
    <n v="41097.161749999999"/>
  </r>
  <r>
    <n v="55"/>
    <s v="female"/>
    <n v="25.364999999999998"/>
    <x v="2"/>
    <s v="no"/>
    <s v="northeast"/>
    <n v="13047.332350000001"/>
  </r>
  <r>
    <n v="56"/>
    <s v="male"/>
    <n v="33.630000000000003"/>
    <x v="0"/>
    <s v="yes"/>
    <s v="northwest"/>
    <n v="43921.183700000001"/>
  </r>
  <r>
    <n v="38"/>
    <s v="female"/>
    <n v="40.15"/>
    <x v="0"/>
    <s v="no"/>
    <s v="southeast"/>
    <n v="5400.9804999999997"/>
  </r>
  <r>
    <n v="51"/>
    <s v="male"/>
    <n v="24.414999999999999"/>
    <x v="5"/>
    <s v="no"/>
    <s v="northwest"/>
    <n v="11520.099850000001"/>
  </r>
  <r>
    <n v="19"/>
    <s v="male"/>
    <n v="31.92"/>
    <x v="0"/>
    <s v="yes"/>
    <s v="northwest"/>
    <n v="33750.291799999999"/>
  </r>
  <r>
    <n v="58"/>
    <s v="female"/>
    <n v="25.2"/>
    <x v="0"/>
    <s v="no"/>
    <s v="southwest"/>
    <n v="11837.16"/>
  </r>
  <r>
    <n v="20"/>
    <s v="female"/>
    <n v="26.84"/>
    <x v="1"/>
    <s v="yes"/>
    <s v="southeast"/>
    <n v="17085.267599999999"/>
  </r>
  <r>
    <n v="52"/>
    <s v="male"/>
    <n v="24.32"/>
    <x v="2"/>
    <s v="yes"/>
    <s v="northeast"/>
    <n v="24869.836800000001"/>
  </r>
  <r>
    <n v="19"/>
    <s v="male"/>
    <n v="36.954999999999998"/>
    <x v="0"/>
    <s v="yes"/>
    <s v="northwest"/>
    <n v="36219.405449999998"/>
  </r>
  <r>
    <n v="53"/>
    <s v="female"/>
    <n v="38.06"/>
    <x v="2"/>
    <s v="no"/>
    <s v="southeast"/>
    <n v="20462.997660000001"/>
  </r>
  <r>
    <n v="46"/>
    <s v="male"/>
    <n v="42.35"/>
    <x v="2"/>
    <s v="yes"/>
    <s v="southeast"/>
    <n v="46151.124499999998"/>
  </r>
  <r>
    <n v="40"/>
    <s v="male"/>
    <n v="19.8"/>
    <x v="1"/>
    <s v="yes"/>
    <s v="southeast"/>
    <n v="17179.522000000001"/>
  </r>
  <r>
    <n v="59"/>
    <s v="female"/>
    <n v="32.395000000000003"/>
    <x v="2"/>
    <s v="no"/>
    <s v="northeast"/>
    <n v="14590.63205"/>
  </r>
  <r>
    <n v="45"/>
    <s v="male"/>
    <n v="30.2"/>
    <x v="1"/>
    <s v="no"/>
    <s v="southwest"/>
    <n v="7441.0529999999999"/>
  </r>
  <r>
    <n v="49"/>
    <s v="male"/>
    <n v="25.84"/>
    <x v="1"/>
    <s v="no"/>
    <s v="northeast"/>
    <n v="9282.4806000000008"/>
  </r>
  <r>
    <n v="18"/>
    <s v="male"/>
    <n v="29.37"/>
    <x v="1"/>
    <s v="no"/>
    <s v="southeast"/>
    <n v="1719.4363000000001"/>
  </r>
  <r>
    <n v="50"/>
    <s v="male"/>
    <n v="34.200000000000003"/>
    <x v="3"/>
    <s v="yes"/>
    <s v="southwest"/>
    <n v="42856.838000000003"/>
  </r>
  <r>
    <n v="41"/>
    <s v="male"/>
    <n v="37.049999999999997"/>
    <x v="3"/>
    <s v="no"/>
    <s v="northwest"/>
    <n v="7265.7025000000003"/>
  </r>
  <r>
    <n v="50"/>
    <s v="male"/>
    <n v="27.454999999999998"/>
    <x v="1"/>
    <s v="no"/>
    <s v="northeast"/>
    <n v="9617.6624499999998"/>
  </r>
  <r>
    <n v="25"/>
    <s v="male"/>
    <n v="27.55"/>
    <x v="0"/>
    <s v="no"/>
    <s v="northwest"/>
    <n v="2523.1695"/>
  </r>
  <r>
    <n v="47"/>
    <s v="female"/>
    <n v="26.6"/>
    <x v="3"/>
    <s v="no"/>
    <s v="northeast"/>
    <n v="9715.8410000000003"/>
  </r>
  <r>
    <n v="19"/>
    <s v="male"/>
    <n v="20.614999999999998"/>
    <x v="3"/>
    <s v="no"/>
    <s v="northwest"/>
    <n v="2803.69785"/>
  </r>
  <r>
    <n v="22"/>
    <s v="female"/>
    <n v="24.3"/>
    <x v="0"/>
    <s v="no"/>
    <s v="southwest"/>
    <n v="2150.4690000000001"/>
  </r>
  <r>
    <n v="59"/>
    <s v="male"/>
    <n v="31.79"/>
    <x v="3"/>
    <s v="no"/>
    <s v="southeast"/>
    <n v="12928.7911"/>
  </r>
  <r>
    <n v="51"/>
    <s v="female"/>
    <n v="21.56"/>
    <x v="1"/>
    <s v="no"/>
    <s v="southeast"/>
    <n v="9855.1314000000002"/>
  </r>
  <r>
    <n v="40"/>
    <s v="female"/>
    <n v="28.12"/>
    <x v="1"/>
    <s v="yes"/>
    <s v="northeast"/>
    <n v="22331.566800000001"/>
  </r>
  <r>
    <n v="54"/>
    <s v="male"/>
    <n v="40.564999999999998"/>
    <x v="2"/>
    <s v="yes"/>
    <s v="northeast"/>
    <n v="48549.178350000002"/>
  </r>
  <r>
    <n v="30"/>
    <s v="male"/>
    <n v="27.645"/>
    <x v="1"/>
    <s v="no"/>
    <s v="northeast"/>
    <n v="4237.12655"/>
  </r>
  <r>
    <n v="55"/>
    <s v="female"/>
    <n v="32.395000000000003"/>
    <x v="1"/>
    <s v="no"/>
    <s v="northeast"/>
    <n v="11879.10405"/>
  </r>
  <r>
    <n v="52"/>
    <s v="female"/>
    <n v="31.2"/>
    <x v="0"/>
    <s v="no"/>
    <s v="southwest"/>
    <n v="9625.92"/>
  </r>
  <r>
    <n v="46"/>
    <s v="male"/>
    <n v="26.62"/>
    <x v="1"/>
    <s v="no"/>
    <s v="southeast"/>
    <n v="7742.1098000000002"/>
  </r>
  <r>
    <n v="46"/>
    <s v="female"/>
    <n v="48.07"/>
    <x v="3"/>
    <s v="no"/>
    <s v="northeast"/>
    <n v="9432.9253000000008"/>
  </r>
  <r>
    <n v="63"/>
    <s v="female"/>
    <n v="26.22"/>
    <x v="0"/>
    <s v="no"/>
    <s v="northwest"/>
    <n v="14256.192800000001"/>
  </r>
  <r>
    <n v="59"/>
    <s v="female"/>
    <n v="36.765000000000001"/>
    <x v="1"/>
    <s v="yes"/>
    <s v="northeast"/>
    <n v="47896.79135"/>
  </r>
  <r>
    <n v="52"/>
    <s v="male"/>
    <n v="26.4"/>
    <x v="2"/>
    <s v="no"/>
    <s v="southeast"/>
    <n v="25992.821039999999"/>
  </r>
  <r>
    <n v="28"/>
    <s v="female"/>
    <n v="33.4"/>
    <x v="0"/>
    <s v="no"/>
    <s v="southwest"/>
    <n v="3172.018"/>
  </r>
  <r>
    <n v="29"/>
    <s v="male"/>
    <n v="29.64"/>
    <x v="1"/>
    <s v="no"/>
    <s v="northeast"/>
    <n v="20277.807509999999"/>
  </r>
  <r>
    <n v="25"/>
    <s v="male"/>
    <n v="45.54"/>
    <x v="3"/>
    <s v="yes"/>
    <s v="southeast"/>
    <n v="42112.2356"/>
  </r>
  <r>
    <n v="22"/>
    <s v="female"/>
    <n v="28.82"/>
    <x v="0"/>
    <s v="no"/>
    <s v="southeast"/>
    <n v="2156.7518"/>
  </r>
  <r>
    <n v="25"/>
    <s v="male"/>
    <n v="26.8"/>
    <x v="2"/>
    <s v="no"/>
    <s v="southwest"/>
    <n v="3906.127"/>
  </r>
  <r>
    <n v="18"/>
    <s v="male"/>
    <n v="22.99"/>
    <x v="0"/>
    <s v="no"/>
    <s v="northeast"/>
    <n v="1704.5681"/>
  </r>
  <r>
    <n v="19"/>
    <s v="male"/>
    <n v="27.7"/>
    <x v="0"/>
    <s v="yes"/>
    <s v="southwest"/>
    <n v="16297.846"/>
  </r>
  <r>
    <n v="47"/>
    <s v="male"/>
    <n v="25.41"/>
    <x v="1"/>
    <s v="yes"/>
    <s v="southeast"/>
    <n v="21978.676899999999"/>
  </r>
  <r>
    <n v="31"/>
    <s v="male"/>
    <n v="34.39"/>
    <x v="2"/>
    <s v="yes"/>
    <s v="northwest"/>
    <n v="38746.355100000001"/>
  </r>
  <r>
    <n v="48"/>
    <s v="female"/>
    <n v="28.88"/>
    <x v="1"/>
    <s v="no"/>
    <s v="northwest"/>
    <n v="9249.4951999999994"/>
  </r>
  <r>
    <n v="36"/>
    <s v="male"/>
    <n v="27.55"/>
    <x v="2"/>
    <s v="no"/>
    <s v="northeast"/>
    <n v="6746.7425000000003"/>
  </r>
  <r>
    <n v="53"/>
    <s v="female"/>
    <n v="22.61"/>
    <x v="2"/>
    <s v="yes"/>
    <s v="northeast"/>
    <n v="24873.384900000001"/>
  </r>
  <r>
    <n v="56"/>
    <s v="female"/>
    <n v="37.51"/>
    <x v="3"/>
    <s v="no"/>
    <s v="southeast"/>
    <n v="12265.5069"/>
  </r>
  <r>
    <n v="28"/>
    <s v="female"/>
    <n v="33"/>
    <x v="3"/>
    <s v="no"/>
    <s v="southeast"/>
    <n v="4349.4620000000004"/>
  </r>
  <r>
    <n v="57"/>
    <s v="female"/>
    <n v="38"/>
    <x v="3"/>
    <s v="no"/>
    <s v="southwest"/>
    <n v="12646.207"/>
  </r>
  <r>
    <n v="29"/>
    <s v="male"/>
    <n v="33.344999999999999"/>
    <x v="3"/>
    <s v="no"/>
    <s v="northwest"/>
    <n v="19442.353500000001"/>
  </r>
  <r>
    <n v="28"/>
    <s v="female"/>
    <n v="27.5"/>
    <x v="3"/>
    <s v="no"/>
    <s v="southwest"/>
    <n v="20177.671129999999"/>
  </r>
  <r>
    <n v="30"/>
    <s v="female"/>
    <n v="33.33"/>
    <x v="1"/>
    <s v="no"/>
    <s v="southeast"/>
    <n v="4151.0286999999998"/>
  </r>
  <r>
    <n v="58"/>
    <s v="male"/>
    <n v="34.865000000000002"/>
    <x v="0"/>
    <s v="no"/>
    <s v="northeast"/>
    <n v="11944.594349999999"/>
  </r>
  <r>
    <n v="41"/>
    <s v="female"/>
    <n v="33.06"/>
    <x v="3"/>
    <s v="no"/>
    <s v="northwest"/>
    <n v="7749.1563999999998"/>
  </r>
  <r>
    <n v="50"/>
    <s v="male"/>
    <n v="26.6"/>
    <x v="0"/>
    <s v="no"/>
    <s v="southwest"/>
    <n v="8444.4740000000002"/>
  </r>
  <r>
    <n v="19"/>
    <s v="female"/>
    <n v="24.7"/>
    <x v="0"/>
    <s v="no"/>
    <s v="southwest"/>
    <n v="1737.376"/>
  </r>
  <r>
    <n v="43"/>
    <s v="male"/>
    <n v="35.97"/>
    <x v="2"/>
    <s v="yes"/>
    <s v="southeast"/>
    <n v="42124.515299999999"/>
  </r>
  <r>
    <n v="49"/>
    <s v="male"/>
    <n v="35.86"/>
    <x v="0"/>
    <s v="no"/>
    <s v="southeast"/>
    <n v="8124.4084000000003"/>
  </r>
  <r>
    <n v="27"/>
    <s v="female"/>
    <n v="31.4"/>
    <x v="0"/>
    <s v="yes"/>
    <s v="southwest"/>
    <n v="34838.873"/>
  </r>
  <r>
    <n v="52"/>
    <s v="male"/>
    <n v="33.25"/>
    <x v="0"/>
    <s v="no"/>
    <s v="northeast"/>
    <n v="9722.7695000000003"/>
  </r>
  <r>
    <n v="50"/>
    <s v="male"/>
    <n v="32.204999999999998"/>
    <x v="0"/>
    <s v="no"/>
    <s v="northwest"/>
    <n v="8835.2649500000007"/>
  </r>
  <r>
    <n v="54"/>
    <s v="male"/>
    <n v="32.774999999999999"/>
    <x v="0"/>
    <s v="no"/>
    <s v="northeast"/>
    <n v="10435.06525"/>
  </r>
  <r>
    <n v="44"/>
    <s v="female"/>
    <n v="27.645"/>
    <x v="0"/>
    <s v="no"/>
    <s v="northwest"/>
    <n v="7421.1945500000002"/>
  </r>
  <r>
    <n v="32"/>
    <s v="male"/>
    <n v="37.335000000000001"/>
    <x v="1"/>
    <s v="no"/>
    <s v="northeast"/>
    <n v="4667.6076499999999"/>
  </r>
  <r>
    <n v="34"/>
    <s v="male"/>
    <n v="25.27"/>
    <x v="1"/>
    <s v="no"/>
    <s v="northwest"/>
    <n v="4894.7533000000003"/>
  </r>
  <r>
    <n v="26"/>
    <s v="female"/>
    <n v="29.64"/>
    <x v="5"/>
    <s v="no"/>
    <s v="northeast"/>
    <n v="24671.663339999999"/>
  </r>
  <r>
    <n v="34"/>
    <s v="male"/>
    <n v="30.8"/>
    <x v="0"/>
    <s v="yes"/>
    <s v="southwest"/>
    <n v="35491.64"/>
  </r>
  <r>
    <n v="57"/>
    <s v="male"/>
    <n v="40.945"/>
    <x v="0"/>
    <s v="no"/>
    <s v="northeast"/>
    <n v="11566.30055"/>
  </r>
  <r>
    <n v="29"/>
    <s v="male"/>
    <n v="27.2"/>
    <x v="0"/>
    <s v="no"/>
    <s v="southwest"/>
    <n v="2866.0909999999999"/>
  </r>
  <r>
    <n v="40"/>
    <s v="male"/>
    <n v="34.104999999999997"/>
    <x v="1"/>
    <s v="no"/>
    <s v="northeast"/>
    <n v="6600.2059499999996"/>
  </r>
  <r>
    <n v="27"/>
    <s v="female"/>
    <n v="23.21"/>
    <x v="1"/>
    <s v="no"/>
    <s v="southeast"/>
    <n v="3561.8888999999999"/>
  </r>
  <r>
    <n v="45"/>
    <s v="male"/>
    <n v="36.479999999999997"/>
    <x v="3"/>
    <s v="yes"/>
    <s v="northwest"/>
    <n v="42760.502200000003"/>
  </r>
  <r>
    <n v="64"/>
    <s v="female"/>
    <n v="33.799999999999997"/>
    <x v="1"/>
    <s v="yes"/>
    <s v="southwest"/>
    <n v="47928.03"/>
  </r>
  <r>
    <n v="52"/>
    <s v="male"/>
    <n v="36.700000000000003"/>
    <x v="0"/>
    <s v="no"/>
    <s v="southwest"/>
    <n v="9144.5650000000005"/>
  </r>
  <r>
    <n v="61"/>
    <s v="female"/>
    <n v="36.384999999999998"/>
    <x v="1"/>
    <s v="yes"/>
    <s v="northeast"/>
    <n v="48517.563150000002"/>
  </r>
  <r>
    <n v="52"/>
    <s v="male"/>
    <n v="27.36"/>
    <x v="0"/>
    <s v="yes"/>
    <s v="northwest"/>
    <n v="24393.6224"/>
  </r>
  <r>
    <n v="61"/>
    <s v="female"/>
    <n v="31.16"/>
    <x v="0"/>
    <s v="no"/>
    <s v="northwest"/>
    <n v="13429.035400000001"/>
  </r>
  <r>
    <n v="56"/>
    <s v="female"/>
    <n v="28.785"/>
    <x v="0"/>
    <s v="no"/>
    <s v="northeast"/>
    <n v="11658.379150000001"/>
  </r>
  <r>
    <n v="43"/>
    <s v="female"/>
    <n v="35.72"/>
    <x v="3"/>
    <s v="no"/>
    <s v="northeast"/>
    <n v="19144.576519999999"/>
  </r>
  <r>
    <n v="64"/>
    <s v="male"/>
    <n v="34.5"/>
    <x v="0"/>
    <s v="no"/>
    <s v="southwest"/>
    <n v="13822.803"/>
  </r>
  <r>
    <n v="60"/>
    <s v="male"/>
    <n v="25.74"/>
    <x v="0"/>
    <s v="no"/>
    <s v="southeast"/>
    <n v="12142.578600000001"/>
  </r>
  <r>
    <n v="62"/>
    <s v="male"/>
    <n v="27.55"/>
    <x v="1"/>
    <s v="no"/>
    <s v="northwest"/>
    <n v="13937.666499999999"/>
  </r>
  <r>
    <n v="50"/>
    <s v="male"/>
    <n v="32.299999999999997"/>
    <x v="1"/>
    <s v="yes"/>
    <s v="northeast"/>
    <n v="41919.097000000002"/>
  </r>
  <r>
    <n v="46"/>
    <s v="female"/>
    <n v="27.72"/>
    <x v="1"/>
    <s v="no"/>
    <s v="southeast"/>
    <n v="8232.6388000000006"/>
  </r>
  <r>
    <n v="24"/>
    <s v="female"/>
    <n v="27.6"/>
    <x v="0"/>
    <s v="no"/>
    <s v="southwest"/>
    <n v="18955.220170000001"/>
  </r>
  <r>
    <n v="62"/>
    <s v="male"/>
    <n v="30.02"/>
    <x v="0"/>
    <s v="no"/>
    <s v="northwest"/>
    <n v="13352.0998"/>
  </r>
  <r>
    <n v="60"/>
    <s v="female"/>
    <n v="27.55"/>
    <x v="0"/>
    <s v="no"/>
    <s v="northeast"/>
    <n v="13217.094499999999"/>
  </r>
  <r>
    <n v="63"/>
    <s v="male"/>
    <n v="36.765000000000001"/>
    <x v="0"/>
    <s v="no"/>
    <s v="northeast"/>
    <n v="13981.850350000001"/>
  </r>
  <r>
    <n v="49"/>
    <s v="female"/>
    <n v="41.47"/>
    <x v="5"/>
    <s v="no"/>
    <s v="southeast"/>
    <n v="10977.2063"/>
  </r>
  <r>
    <n v="34"/>
    <s v="female"/>
    <n v="29.26"/>
    <x v="2"/>
    <s v="no"/>
    <s v="southeast"/>
    <n v="6184.2993999999999"/>
  </r>
  <r>
    <n v="33"/>
    <s v="male"/>
    <n v="35.75"/>
    <x v="3"/>
    <s v="no"/>
    <s v="southeast"/>
    <n v="4889.9994999999999"/>
  </r>
  <r>
    <n v="46"/>
    <s v="male"/>
    <n v="33.344999999999999"/>
    <x v="1"/>
    <s v="no"/>
    <s v="northeast"/>
    <n v="8334.4575499999992"/>
  </r>
  <r>
    <n v="36"/>
    <s v="female"/>
    <n v="29.92"/>
    <x v="1"/>
    <s v="no"/>
    <s v="southeast"/>
    <n v="5478.0367999999999"/>
  </r>
  <r>
    <n v="19"/>
    <s v="male"/>
    <n v="27.835000000000001"/>
    <x v="0"/>
    <s v="no"/>
    <s v="northwest"/>
    <n v="1635.7336499999999"/>
  </r>
  <r>
    <n v="57"/>
    <s v="female"/>
    <n v="23.18"/>
    <x v="0"/>
    <s v="no"/>
    <s v="northwest"/>
    <n v="11830.6072"/>
  </r>
  <r>
    <n v="50"/>
    <s v="female"/>
    <n v="25.6"/>
    <x v="0"/>
    <s v="no"/>
    <s v="southwest"/>
    <n v="8932.0840000000007"/>
  </r>
  <r>
    <n v="30"/>
    <s v="female"/>
    <n v="27.7"/>
    <x v="0"/>
    <s v="no"/>
    <s v="southwest"/>
    <n v="3554.203"/>
  </r>
  <r>
    <n v="33"/>
    <s v="male"/>
    <n v="35.244999999999997"/>
    <x v="0"/>
    <s v="no"/>
    <s v="northeast"/>
    <n v="12404.8791"/>
  </r>
  <r>
    <n v="18"/>
    <s v="female"/>
    <n v="38.28"/>
    <x v="0"/>
    <s v="no"/>
    <s v="southeast"/>
    <n v="14133.03775"/>
  </r>
  <r>
    <n v="46"/>
    <s v="male"/>
    <n v="27.6"/>
    <x v="0"/>
    <s v="no"/>
    <s v="southwest"/>
    <n v="24603.04837"/>
  </r>
  <r>
    <n v="46"/>
    <s v="male"/>
    <n v="43.89"/>
    <x v="2"/>
    <s v="no"/>
    <s v="southeast"/>
    <n v="8944.1151000000009"/>
  </r>
  <r>
    <n v="47"/>
    <s v="male"/>
    <n v="29.83"/>
    <x v="2"/>
    <s v="no"/>
    <s v="northwest"/>
    <n v="9620.3307000000004"/>
  </r>
  <r>
    <n v="23"/>
    <s v="male"/>
    <n v="41.91"/>
    <x v="0"/>
    <s v="no"/>
    <s v="southeast"/>
    <n v="1837.2819"/>
  </r>
  <r>
    <n v="18"/>
    <s v="female"/>
    <n v="20.79"/>
    <x v="0"/>
    <s v="no"/>
    <s v="southeast"/>
    <n v="1607.5101"/>
  </r>
  <r>
    <n v="48"/>
    <s v="female"/>
    <n v="32.299999999999997"/>
    <x v="3"/>
    <s v="no"/>
    <s v="northeast"/>
    <n v="10043.249"/>
  </r>
  <r>
    <n v="35"/>
    <s v="male"/>
    <n v="30.5"/>
    <x v="1"/>
    <s v="no"/>
    <s v="southwest"/>
    <n v="4751.07"/>
  </r>
  <r>
    <n v="19"/>
    <s v="female"/>
    <n v="21.7"/>
    <x v="0"/>
    <s v="yes"/>
    <s v="southwest"/>
    <n v="13844.505999999999"/>
  </r>
  <r>
    <n v="21"/>
    <s v="female"/>
    <n v="26.4"/>
    <x v="1"/>
    <s v="no"/>
    <s v="southwest"/>
    <n v="2597.779"/>
  </r>
  <r>
    <n v="21"/>
    <s v="female"/>
    <n v="21.89"/>
    <x v="3"/>
    <s v="no"/>
    <s v="southeast"/>
    <n v="3180.5101"/>
  </r>
  <r>
    <n v="49"/>
    <s v="female"/>
    <n v="30.78"/>
    <x v="1"/>
    <s v="no"/>
    <s v="northeast"/>
    <n v="9778.3472000000002"/>
  </r>
  <r>
    <n v="56"/>
    <s v="female"/>
    <n v="32.299999999999997"/>
    <x v="2"/>
    <s v="no"/>
    <s v="northeast"/>
    <n v="13430.264999999999"/>
  </r>
  <r>
    <n v="42"/>
    <s v="female"/>
    <n v="24.984999999999999"/>
    <x v="3"/>
    <s v="no"/>
    <s v="northwest"/>
    <n v="8017.0611500000005"/>
  </r>
  <r>
    <n v="44"/>
    <s v="male"/>
    <n v="32.015000000000001"/>
    <x v="3"/>
    <s v="no"/>
    <s v="northwest"/>
    <n v="8116.2688500000004"/>
  </r>
  <r>
    <n v="18"/>
    <s v="male"/>
    <n v="30.4"/>
    <x v="2"/>
    <s v="no"/>
    <s v="northeast"/>
    <n v="3481.8679999999999"/>
  </r>
  <r>
    <n v="61"/>
    <s v="female"/>
    <n v="21.09"/>
    <x v="0"/>
    <s v="no"/>
    <s v="northwest"/>
    <n v="13415.0381"/>
  </r>
  <r>
    <n v="57"/>
    <s v="female"/>
    <n v="22.23"/>
    <x v="0"/>
    <s v="no"/>
    <s v="northeast"/>
    <n v="12029.286700000001"/>
  </r>
  <r>
    <n v="42"/>
    <s v="female"/>
    <n v="33.155000000000001"/>
    <x v="1"/>
    <s v="no"/>
    <s v="northeast"/>
    <n v="7639.4174499999999"/>
  </r>
  <r>
    <n v="26"/>
    <s v="male"/>
    <n v="32.9"/>
    <x v="3"/>
    <s v="yes"/>
    <s v="southwest"/>
    <n v="36085.218999999997"/>
  </r>
  <r>
    <n v="20"/>
    <s v="male"/>
    <n v="33.33"/>
    <x v="0"/>
    <s v="no"/>
    <s v="southeast"/>
    <n v="1391.5287000000001"/>
  </r>
  <r>
    <n v="23"/>
    <s v="female"/>
    <n v="28.31"/>
    <x v="0"/>
    <s v="yes"/>
    <s v="northwest"/>
    <n v="18033.9679"/>
  </r>
  <r>
    <n v="39"/>
    <s v="female"/>
    <n v="24.89"/>
    <x v="2"/>
    <s v="yes"/>
    <s v="northeast"/>
    <n v="21659.930100000001"/>
  </r>
  <r>
    <n v="24"/>
    <s v="male"/>
    <n v="40.15"/>
    <x v="0"/>
    <s v="yes"/>
    <s v="southeast"/>
    <n v="38126.246500000001"/>
  </r>
  <r>
    <n v="64"/>
    <s v="female"/>
    <n v="30.114999999999998"/>
    <x v="2"/>
    <s v="no"/>
    <s v="northwest"/>
    <n v="16455.707849999999"/>
  </r>
  <r>
    <n v="62"/>
    <s v="male"/>
    <n v="31.46"/>
    <x v="1"/>
    <s v="no"/>
    <s v="southeast"/>
    <n v="27000.98473"/>
  </r>
  <r>
    <n v="27"/>
    <s v="female"/>
    <n v="17.954999999999998"/>
    <x v="3"/>
    <s v="yes"/>
    <s v="northeast"/>
    <n v="15006.579449999999"/>
  </r>
  <r>
    <n v="55"/>
    <s v="male"/>
    <n v="30.684999999999999"/>
    <x v="0"/>
    <s v="yes"/>
    <s v="northeast"/>
    <n v="42303.692150000003"/>
  </r>
  <r>
    <n v="55"/>
    <s v="male"/>
    <n v="33"/>
    <x v="0"/>
    <s v="no"/>
    <s v="southeast"/>
    <n v="20781.48892"/>
  </r>
  <r>
    <n v="35"/>
    <s v="female"/>
    <n v="43.34"/>
    <x v="3"/>
    <s v="no"/>
    <s v="southeast"/>
    <n v="5846.9175999999998"/>
  </r>
  <r>
    <n v="44"/>
    <s v="male"/>
    <n v="22.135000000000002"/>
    <x v="3"/>
    <s v="no"/>
    <s v="northeast"/>
    <n v="8302.5356499999998"/>
  </r>
  <r>
    <n v="19"/>
    <s v="male"/>
    <n v="34.4"/>
    <x v="0"/>
    <s v="no"/>
    <s v="southwest"/>
    <n v="1261.8589999999999"/>
  </r>
  <r>
    <n v="58"/>
    <s v="female"/>
    <n v="39.049999999999997"/>
    <x v="0"/>
    <s v="no"/>
    <s v="southeast"/>
    <n v="11856.4115"/>
  </r>
  <r>
    <n v="50"/>
    <s v="male"/>
    <n v="25.364999999999998"/>
    <x v="3"/>
    <s v="no"/>
    <s v="northwest"/>
    <n v="30284.642940000002"/>
  </r>
  <r>
    <n v="26"/>
    <s v="female"/>
    <n v="22.61"/>
    <x v="0"/>
    <s v="no"/>
    <s v="northwest"/>
    <n v="3176.8159000000001"/>
  </r>
  <r>
    <n v="24"/>
    <s v="female"/>
    <n v="30.21"/>
    <x v="2"/>
    <s v="no"/>
    <s v="northwest"/>
    <n v="4618.0798999999997"/>
  </r>
  <r>
    <n v="48"/>
    <s v="male"/>
    <n v="35.625"/>
    <x v="5"/>
    <s v="no"/>
    <s v="northeast"/>
    <n v="10736.87075"/>
  </r>
  <r>
    <n v="19"/>
    <s v="female"/>
    <n v="37.43"/>
    <x v="0"/>
    <s v="no"/>
    <s v="northwest"/>
    <n v="2138.0707000000002"/>
  </r>
  <r>
    <n v="48"/>
    <s v="male"/>
    <n v="31.445"/>
    <x v="1"/>
    <s v="no"/>
    <s v="northeast"/>
    <n v="8964.0605500000001"/>
  </r>
  <r>
    <n v="49"/>
    <s v="male"/>
    <n v="31.35"/>
    <x v="1"/>
    <s v="no"/>
    <s v="northeast"/>
    <n v="9290.1394999999993"/>
  </r>
  <r>
    <n v="46"/>
    <s v="female"/>
    <n v="32.299999999999997"/>
    <x v="3"/>
    <s v="no"/>
    <s v="northeast"/>
    <n v="9411.0049999999992"/>
  </r>
  <r>
    <n v="46"/>
    <s v="male"/>
    <n v="19.855"/>
    <x v="0"/>
    <s v="no"/>
    <s v="northwest"/>
    <n v="7526.7064499999997"/>
  </r>
  <r>
    <n v="43"/>
    <s v="female"/>
    <n v="34.4"/>
    <x v="2"/>
    <s v="no"/>
    <s v="southwest"/>
    <n v="8522.0030000000006"/>
  </r>
  <r>
    <n v="21"/>
    <s v="male"/>
    <n v="31.02"/>
    <x v="0"/>
    <s v="no"/>
    <s v="southeast"/>
    <n v="16586.49771"/>
  </r>
  <r>
    <n v="64"/>
    <s v="male"/>
    <n v="25.6"/>
    <x v="3"/>
    <s v="no"/>
    <s v="southwest"/>
    <n v="14988.432000000001"/>
  </r>
  <r>
    <n v="18"/>
    <s v="female"/>
    <n v="38.17"/>
    <x v="0"/>
    <s v="no"/>
    <s v="southeast"/>
    <n v="1631.6683"/>
  </r>
  <r>
    <n v="51"/>
    <s v="female"/>
    <n v="20.6"/>
    <x v="0"/>
    <s v="no"/>
    <s v="southwest"/>
    <n v="9264.7970000000005"/>
  </r>
  <r>
    <n v="47"/>
    <s v="male"/>
    <n v="47.52"/>
    <x v="1"/>
    <s v="no"/>
    <s v="southeast"/>
    <n v="8083.9197999999997"/>
  </r>
  <r>
    <n v="64"/>
    <s v="female"/>
    <n v="32.965000000000003"/>
    <x v="0"/>
    <s v="no"/>
    <s v="northwest"/>
    <n v="14692.66935"/>
  </r>
  <r>
    <n v="49"/>
    <s v="male"/>
    <n v="32.299999999999997"/>
    <x v="2"/>
    <s v="no"/>
    <s v="northwest"/>
    <n v="10269.459999999999"/>
  </r>
  <r>
    <n v="31"/>
    <s v="male"/>
    <n v="20.399999999999999"/>
    <x v="0"/>
    <s v="no"/>
    <s v="southwest"/>
    <n v="3260.1990000000001"/>
  </r>
  <r>
    <n v="52"/>
    <s v="female"/>
    <n v="38.380000000000003"/>
    <x v="3"/>
    <s v="no"/>
    <s v="northeast"/>
    <n v="11396.9002"/>
  </r>
  <r>
    <n v="33"/>
    <s v="female"/>
    <n v="24.31"/>
    <x v="0"/>
    <s v="no"/>
    <s v="southeast"/>
    <n v="4185.0978999999998"/>
  </r>
  <r>
    <n v="47"/>
    <s v="female"/>
    <n v="23.6"/>
    <x v="1"/>
    <s v="no"/>
    <s v="southwest"/>
    <n v="8539.6710000000003"/>
  </r>
  <r>
    <n v="38"/>
    <s v="male"/>
    <n v="21.12"/>
    <x v="2"/>
    <s v="no"/>
    <s v="southeast"/>
    <n v="6652.5288"/>
  </r>
  <r>
    <n v="32"/>
    <s v="male"/>
    <n v="30.03"/>
    <x v="1"/>
    <s v="no"/>
    <s v="southeast"/>
    <n v="4074.4537"/>
  </r>
  <r>
    <n v="19"/>
    <s v="male"/>
    <n v="17.48"/>
    <x v="0"/>
    <s v="no"/>
    <s v="northwest"/>
    <n v="1621.3402000000001"/>
  </r>
  <r>
    <n v="44"/>
    <s v="female"/>
    <n v="20.234999999999999"/>
    <x v="1"/>
    <s v="yes"/>
    <s v="northeast"/>
    <n v="19594.809649999999"/>
  </r>
  <r>
    <n v="26"/>
    <s v="female"/>
    <n v="17.195"/>
    <x v="3"/>
    <s v="yes"/>
    <s v="northeast"/>
    <n v="14455.644050000001"/>
  </r>
  <r>
    <n v="25"/>
    <s v="male"/>
    <n v="23.9"/>
    <x v="4"/>
    <s v="no"/>
    <s v="southwest"/>
    <n v="5080.0959999999995"/>
  </r>
  <r>
    <n v="19"/>
    <s v="female"/>
    <n v="35.15"/>
    <x v="0"/>
    <s v="no"/>
    <s v="northwest"/>
    <n v="2134.9014999999999"/>
  </r>
  <r>
    <n v="43"/>
    <s v="female"/>
    <n v="35.64"/>
    <x v="1"/>
    <s v="no"/>
    <s v="southeast"/>
    <n v="7345.7266"/>
  </r>
  <r>
    <n v="52"/>
    <s v="male"/>
    <n v="34.1"/>
    <x v="0"/>
    <s v="no"/>
    <s v="southeast"/>
    <n v="9140.9509999999991"/>
  </r>
  <r>
    <n v="36"/>
    <s v="female"/>
    <n v="22.6"/>
    <x v="3"/>
    <s v="yes"/>
    <s v="southwest"/>
    <n v="18608.261999999999"/>
  </r>
  <r>
    <n v="64"/>
    <s v="male"/>
    <n v="39.159999999999997"/>
    <x v="1"/>
    <s v="no"/>
    <s v="southeast"/>
    <n v="14418.2804"/>
  </r>
  <r>
    <n v="63"/>
    <s v="female"/>
    <n v="26.98"/>
    <x v="0"/>
    <s v="yes"/>
    <s v="northwest"/>
    <n v="28950.4692"/>
  </r>
  <r>
    <n v="64"/>
    <s v="male"/>
    <n v="33.880000000000003"/>
    <x v="0"/>
    <s v="yes"/>
    <s v="southeast"/>
    <n v="46889.261200000001"/>
  </r>
  <r>
    <n v="61"/>
    <s v="male"/>
    <n v="35.86"/>
    <x v="0"/>
    <s v="yes"/>
    <s v="southeast"/>
    <n v="46599.108399999997"/>
  </r>
  <r>
    <n v="40"/>
    <s v="male"/>
    <n v="32.774999999999999"/>
    <x v="1"/>
    <s v="yes"/>
    <s v="northeast"/>
    <n v="39125.332249999999"/>
  </r>
  <r>
    <n v="25"/>
    <s v="male"/>
    <n v="30.59"/>
    <x v="0"/>
    <s v="no"/>
    <s v="northeast"/>
    <n v="2727.3951000000002"/>
  </r>
  <r>
    <n v="48"/>
    <s v="male"/>
    <n v="30.2"/>
    <x v="3"/>
    <s v="no"/>
    <s v="southwest"/>
    <n v="8968.33"/>
  </r>
  <r>
    <n v="45"/>
    <s v="male"/>
    <n v="24.31"/>
    <x v="4"/>
    <s v="no"/>
    <s v="southeast"/>
    <n v="9788.8659000000007"/>
  </r>
  <r>
    <n v="38"/>
    <s v="female"/>
    <n v="27.265000000000001"/>
    <x v="1"/>
    <s v="no"/>
    <s v="northeast"/>
    <n v="6555.07035"/>
  </r>
  <r>
    <n v="18"/>
    <s v="female"/>
    <n v="29.164999999999999"/>
    <x v="0"/>
    <s v="no"/>
    <s v="northeast"/>
    <n v="7323.7348190000002"/>
  </r>
  <r>
    <n v="21"/>
    <s v="female"/>
    <n v="16.815000000000001"/>
    <x v="1"/>
    <s v="no"/>
    <s v="northeast"/>
    <n v="3167.4558499999998"/>
  </r>
  <r>
    <n v="27"/>
    <s v="female"/>
    <n v="30.4"/>
    <x v="2"/>
    <s v="no"/>
    <s v="northwest"/>
    <n v="18804.752400000001"/>
  </r>
  <r>
    <n v="19"/>
    <s v="male"/>
    <n v="33.1"/>
    <x v="0"/>
    <s v="no"/>
    <s v="southwest"/>
    <n v="23082.955330000001"/>
  </r>
  <r>
    <n v="29"/>
    <s v="female"/>
    <n v="20.234999999999999"/>
    <x v="3"/>
    <s v="no"/>
    <s v="northwest"/>
    <n v="4906.4096499999996"/>
  </r>
  <r>
    <n v="42"/>
    <s v="male"/>
    <n v="26.9"/>
    <x v="0"/>
    <s v="no"/>
    <s v="southwest"/>
    <n v="5969.723"/>
  </r>
  <r>
    <n v="60"/>
    <s v="female"/>
    <n v="30.5"/>
    <x v="0"/>
    <s v="no"/>
    <s v="southwest"/>
    <n v="12638.195"/>
  </r>
  <r>
    <n v="31"/>
    <s v="male"/>
    <n v="28.594999999999999"/>
    <x v="1"/>
    <s v="no"/>
    <s v="northwest"/>
    <n v="4243.5900499999998"/>
  </r>
  <r>
    <n v="60"/>
    <s v="male"/>
    <n v="33.11"/>
    <x v="2"/>
    <s v="no"/>
    <s v="southeast"/>
    <n v="13919.822899999999"/>
  </r>
  <r>
    <n v="22"/>
    <s v="male"/>
    <n v="31.73"/>
    <x v="0"/>
    <s v="no"/>
    <s v="northeast"/>
    <n v="2254.7966999999999"/>
  </r>
  <r>
    <n v="35"/>
    <s v="male"/>
    <n v="28.9"/>
    <x v="2"/>
    <s v="no"/>
    <s v="southwest"/>
    <n v="5926.8459999999995"/>
  </r>
  <r>
    <n v="52"/>
    <s v="female"/>
    <n v="46.75"/>
    <x v="4"/>
    <s v="no"/>
    <s v="southeast"/>
    <n v="12592.5345"/>
  </r>
  <r>
    <n v="26"/>
    <s v="male"/>
    <n v="29.45"/>
    <x v="0"/>
    <s v="no"/>
    <s v="northeast"/>
    <n v="2897.3235"/>
  </r>
  <r>
    <n v="31"/>
    <s v="female"/>
    <n v="32.68"/>
    <x v="1"/>
    <s v="no"/>
    <s v="northwest"/>
    <n v="4738.2682000000004"/>
  </r>
  <r>
    <n v="33"/>
    <s v="female"/>
    <n v="33.5"/>
    <x v="0"/>
    <s v="yes"/>
    <s v="southwest"/>
    <n v="37079.372000000003"/>
  </r>
  <r>
    <n v="18"/>
    <s v="male"/>
    <n v="43.01"/>
    <x v="0"/>
    <s v="no"/>
    <s v="southeast"/>
    <n v="1149.3959"/>
  </r>
  <r>
    <n v="59"/>
    <s v="female"/>
    <n v="36.520000000000003"/>
    <x v="1"/>
    <s v="no"/>
    <s v="southeast"/>
    <n v="28287.897659999999"/>
  </r>
  <r>
    <n v="56"/>
    <s v="male"/>
    <n v="26.695"/>
    <x v="1"/>
    <s v="yes"/>
    <s v="northwest"/>
    <n v="26109.32905"/>
  </r>
  <r>
    <n v="45"/>
    <s v="female"/>
    <n v="33.1"/>
    <x v="0"/>
    <s v="no"/>
    <s v="southwest"/>
    <n v="7345.0839999999998"/>
  </r>
  <r>
    <n v="60"/>
    <s v="male"/>
    <n v="29.64"/>
    <x v="0"/>
    <s v="no"/>
    <s v="northeast"/>
    <n v="12730.999599999999"/>
  </r>
  <r>
    <n v="56"/>
    <s v="female"/>
    <n v="25.65"/>
    <x v="0"/>
    <s v="no"/>
    <s v="northwest"/>
    <n v="11454.021500000001"/>
  </r>
  <r>
    <n v="40"/>
    <s v="female"/>
    <n v="29.6"/>
    <x v="0"/>
    <s v="no"/>
    <s v="southwest"/>
    <n v="5910.9440000000004"/>
  </r>
  <r>
    <n v="35"/>
    <s v="male"/>
    <n v="38.6"/>
    <x v="1"/>
    <s v="no"/>
    <s v="southwest"/>
    <n v="4762.3289999999997"/>
  </r>
  <r>
    <n v="39"/>
    <s v="male"/>
    <n v="29.6"/>
    <x v="5"/>
    <s v="no"/>
    <s v="southwest"/>
    <n v="7512.2669999999998"/>
  </r>
  <r>
    <n v="30"/>
    <s v="male"/>
    <n v="24.13"/>
    <x v="1"/>
    <s v="no"/>
    <s v="northwest"/>
    <n v="4032.2406999999998"/>
  </r>
  <r>
    <n v="24"/>
    <s v="male"/>
    <n v="23.4"/>
    <x v="0"/>
    <s v="no"/>
    <s v="southwest"/>
    <n v="1969.614"/>
  </r>
  <r>
    <n v="20"/>
    <s v="male"/>
    <n v="29.734999999999999"/>
    <x v="0"/>
    <s v="no"/>
    <s v="northwest"/>
    <n v="1769.5316499999999"/>
  </r>
  <r>
    <n v="32"/>
    <s v="male"/>
    <n v="46.53"/>
    <x v="3"/>
    <s v="no"/>
    <s v="southeast"/>
    <n v="4686.3887000000004"/>
  </r>
  <r>
    <n v="59"/>
    <s v="male"/>
    <n v="37.4"/>
    <x v="0"/>
    <s v="no"/>
    <s v="southwest"/>
    <n v="21797.000400000001"/>
  </r>
  <r>
    <n v="55"/>
    <s v="female"/>
    <n v="30.14"/>
    <x v="3"/>
    <s v="no"/>
    <s v="southeast"/>
    <n v="11881.9696"/>
  </r>
  <r>
    <n v="57"/>
    <s v="female"/>
    <n v="30.495000000000001"/>
    <x v="0"/>
    <s v="no"/>
    <s v="northwest"/>
    <n v="11840.77505"/>
  </r>
  <r>
    <n v="56"/>
    <s v="male"/>
    <n v="39.6"/>
    <x v="0"/>
    <s v="no"/>
    <s v="southwest"/>
    <n v="10601.412"/>
  </r>
  <r>
    <n v="40"/>
    <s v="female"/>
    <n v="33"/>
    <x v="2"/>
    <s v="no"/>
    <s v="southeast"/>
    <n v="7682.67"/>
  </r>
  <r>
    <n v="49"/>
    <s v="female"/>
    <n v="36.630000000000003"/>
    <x v="2"/>
    <s v="no"/>
    <s v="southeast"/>
    <n v="10381.4787"/>
  </r>
  <r>
    <n v="42"/>
    <s v="male"/>
    <n v="30"/>
    <x v="0"/>
    <s v="yes"/>
    <s v="southwest"/>
    <n v="22144.031999999999"/>
  </r>
  <r>
    <n v="62"/>
    <s v="female"/>
    <n v="38.094999999999999"/>
    <x v="3"/>
    <s v="no"/>
    <s v="northeast"/>
    <n v="15230.324049999999"/>
  </r>
  <r>
    <n v="56"/>
    <s v="male"/>
    <n v="25.934999999999999"/>
    <x v="0"/>
    <s v="no"/>
    <s v="northeast"/>
    <n v="11165.417649999999"/>
  </r>
  <r>
    <n v="19"/>
    <s v="male"/>
    <n v="25.175000000000001"/>
    <x v="0"/>
    <s v="no"/>
    <s v="northwest"/>
    <n v="1632.0362500000001"/>
  </r>
  <r>
    <n v="30"/>
    <s v="female"/>
    <n v="28.38"/>
    <x v="1"/>
    <s v="yes"/>
    <s v="southeast"/>
    <n v="19521.968199999999"/>
  </r>
  <r>
    <n v="60"/>
    <s v="female"/>
    <n v="28.7"/>
    <x v="1"/>
    <s v="no"/>
    <s v="southwest"/>
    <n v="13224.692999999999"/>
  </r>
  <r>
    <n v="56"/>
    <s v="female"/>
    <n v="33.82"/>
    <x v="3"/>
    <s v="no"/>
    <s v="northwest"/>
    <n v="12643.3778"/>
  </r>
  <r>
    <n v="28"/>
    <s v="female"/>
    <n v="24.32"/>
    <x v="1"/>
    <s v="no"/>
    <s v="northeast"/>
    <n v="23288.928400000001"/>
  </r>
  <r>
    <n v="18"/>
    <s v="female"/>
    <n v="24.09"/>
    <x v="1"/>
    <s v="no"/>
    <s v="southeast"/>
    <n v="2201.0971"/>
  </r>
  <r>
    <n v="27"/>
    <s v="male"/>
    <n v="32.67"/>
    <x v="0"/>
    <s v="no"/>
    <s v="southeast"/>
    <n v="2497.0383000000002"/>
  </r>
  <r>
    <n v="18"/>
    <s v="female"/>
    <n v="30.114999999999998"/>
    <x v="0"/>
    <s v="no"/>
    <s v="northeast"/>
    <n v="2203.4718499999999"/>
  </r>
  <r>
    <n v="19"/>
    <s v="female"/>
    <n v="29.8"/>
    <x v="0"/>
    <s v="no"/>
    <s v="southwest"/>
    <n v="1744.4649999999999"/>
  </r>
  <r>
    <n v="47"/>
    <s v="female"/>
    <n v="33.344999999999999"/>
    <x v="0"/>
    <s v="no"/>
    <s v="northeast"/>
    <n v="20878.78443"/>
  </r>
  <r>
    <n v="54"/>
    <s v="male"/>
    <n v="25.1"/>
    <x v="2"/>
    <s v="yes"/>
    <s v="southwest"/>
    <n v="25382.296999999999"/>
  </r>
  <r>
    <n v="61"/>
    <s v="male"/>
    <n v="28.31"/>
    <x v="1"/>
    <s v="yes"/>
    <s v="northwest"/>
    <n v="28868.6639"/>
  </r>
  <r>
    <n v="24"/>
    <s v="male"/>
    <n v="28.5"/>
    <x v="0"/>
    <s v="yes"/>
    <s v="northeast"/>
    <n v="35147.528480000001"/>
  </r>
  <r>
    <n v="25"/>
    <s v="male"/>
    <n v="35.625"/>
    <x v="0"/>
    <s v="no"/>
    <s v="northwest"/>
    <n v="2534.3937500000002"/>
  </r>
  <r>
    <n v="21"/>
    <s v="male"/>
    <n v="36.85"/>
    <x v="0"/>
    <s v="no"/>
    <s v="southeast"/>
    <n v="1534.3045"/>
  </r>
  <r>
    <n v="23"/>
    <s v="male"/>
    <n v="32.56"/>
    <x v="0"/>
    <s v="no"/>
    <s v="southeast"/>
    <n v="1824.2854"/>
  </r>
  <r>
    <n v="63"/>
    <s v="male"/>
    <n v="41.325000000000003"/>
    <x v="2"/>
    <s v="no"/>
    <s v="northwest"/>
    <n v="15555.188749999999"/>
  </r>
  <r>
    <n v="49"/>
    <s v="male"/>
    <n v="37.51"/>
    <x v="3"/>
    <s v="no"/>
    <s v="southeast"/>
    <n v="9304.7019"/>
  </r>
  <r>
    <n v="18"/>
    <s v="female"/>
    <n v="31.35"/>
    <x v="0"/>
    <s v="no"/>
    <s v="southeast"/>
    <n v="1622.1885"/>
  </r>
  <r>
    <n v="51"/>
    <s v="female"/>
    <n v="39.5"/>
    <x v="1"/>
    <s v="no"/>
    <s v="southwest"/>
    <n v="9880.0679999999993"/>
  </r>
  <r>
    <n v="48"/>
    <s v="male"/>
    <n v="34.299999999999997"/>
    <x v="2"/>
    <s v="no"/>
    <s v="southwest"/>
    <n v="9563.0290000000005"/>
  </r>
  <r>
    <n v="31"/>
    <s v="female"/>
    <n v="31.065000000000001"/>
    <x v="0"/>
    <s v="no"/>
    <s v="northeast"/>
    <n v="4347.0233500000004"/>
  </r>
  <r>
    <n v="54"/>
    <s v="female"/>
    <n v="21.47"/>
    <x v="2"/>
    <s v="no"/>
    <s v="northwest"/>
    <n v="12475.3513"/>
  </r>
  <r>
    <n v="19"/>
    <s v="male"/>
    <n v="28.7"/>
    <x v="0"/>
    <s v="no"/>
    <s v="southwest"/>
    <n v="1253.9359999999999"/>
  </r>
  <r>
    <n v="44"/>
    <s v="female"/>
    <n v="38.06"/>
    <x v="0"/>
    <s v="yes"/>
    <s v="southeast"/>
    <n v="48885.135609999998"/>
  </r>
  <r>
    <n v="53"/>
    <s v="male"/>
    <n v="31.16"/>
    <x v="1"/>
    <s v="no"/>
    <s v="northwest"/>
    <n v="10461.9794"/>
  </r>
  <r>
    <n v="19"/>
    <s v="female"/>
    <n v="32.9"/>
    <x v="0"/>
    <s v="no"/>
    <s v="southwest"/>
    <n v="1748.7739999999999"/>
  </r>
  <r>
    <n v="61"/>
    <s v="female"/>
    <n v="25.08"/>
    <x v="0"/>
    <s v="no"/>
    <s v="southeast"/>
    <n v="24513.091260000001"/>
  </r>
  <r>
    <n v="18"/>
    <s v="female"/>
    <n v="25.08"/>
    <x v="0"/>
    <s v="no"/>
    <s v="northeast"/>
    <n v="2196.4731999999999"/>
  </r>
  <r>
    <n v="61"/>
    <s v="male"/>
    <n v="43.4"/>
    <x v="0"/>
    <s v="no"/>
    <s v="southwest"/>
    <n v="12574.049000000001"/>
  </r>
  <r>
    <n v="21"/>
    <s v="male"/>
    <n v="25.7"/>
    <x v="5"/>
    <s v="yes"/>
    <s v="southwest"/>
    <n v="17942.106"/>
  </r>
  <r>
    <n v="20"/>
    <s v="male"/>
    <n v="27.93"/>
    <x v="0"/>
    <s v="no"/>
    <s v="northeast"/>
    <n v="1967.0227"/>
  </r>
  <r>
    <n v="31"/>
    <s v="female"/>
    <n v="23.6"/>
    <x v="3"/>
    <s v="no"/>
    <s v="southwest"/>
    <n v="4931.6469999999999"/>
  </r>
  <r>
    <n v="45"/>
    <s v="male"/>
    <n v="28.7"/>
    <x v="3"/>
    <s v="no"/>
    <s v="southwest"/>
    <n v="8027.9679999999998"/>
  </r>
  <r>
    <n v="44"/>
    <s v="female"/>
    <n v="23.98"/>
    <x v="3"/>
    <s v="no"/>
    <s v="southeast"/>
    <n v="8211.1002000000008"/>
  </r>
  <r>
    <n v="62"/>
    <s v="female"/>
    <n v="39.200000000000003"/>
    <x v="0"/>
    <s v="no"/>
    <s v="southwest"/>
    <n v="13470.86"/>
  </r>
  <r>
    <n v="29"/>
    <s v="male"/>
    <n v="34.4"/>
    <x v="0"/>
    <s v="yes"/>
    <s v="southwest"/>
    <n v="36197.699000000001"/>
  </r>
  <r>
    <n v="43"/>
    <s v="male"/>
    <n v="26.03"/>
    <x v="0"/>
    <s v="no"/>
    <s v="northeast"/>
    <n v="6837.3687"/>
  </r>
  <r>
    <n v="51"/>
    <s v="male"/>
    <n v="23.21"/>
    <x v="1"/>
    <s v="yes"/>
    <s v="southeast"/>
    <n v="22218.1149"/>
  </r>
  <r>
    <n v="19"/>
    <s v="male"/>
    <n v="30.25"/>
    <x v="0"/>
    <s v="yes"/>
    <s v="southeast"/>
    <n v="32548.340499999998"/>
  </r>
  <r>
    <n v="38"/>
    <s v="female"/>
    <n v="28.93"/>
    <x v="1"/>
    <s v="no"/>
    <s v="southeast"/>
    <n v="5974.3846999999996"/>
  </r>
  <r>
    <n v="37"/>
    <s v="male"/>
    <n v="30.875"/>
    <x v="2"/>
    <s v="no"/>
    <s v="northwest"/>
    <n v="6796.8632500000003"/>
  </r>
  <r>
    <n v="22"/>
    <s v="male"/>
    <n v="31.35"/>
    <x v="1"/>
    <s v="no"/>
    <s v="northwest"/>
    <n v="2643.2685000000001"/>
  </r>
  <r>
    <n v="21"/>
    <s v="male"/>
    <n v="23.75"/>
    <x v="3"/>
    <s v="no"/>
    <s v="northwest"/>
    <n v="3077.0954999999999"/>
  </r>
  <r>
    <n v="24"/>
    <s v="female"/>
    <n v="25.27"/>
    <x v="0"/>
    <s v="no"/>
    <s v="northeast"/>
    <n v="3044.2132999999999"/>
  </r>
  <r>
    <n v="57"/>
    <s v="female"/>
    <n v="28.7"/>
    <x v="0"/>
    <s v="no"/>
    <s v="southwest"/>
    <n v="11455.28"/>
  </r>
  <r>
    <n v="56"/>
    <s v="male"/>
    <n v="32.11"/>
    <x v="1"/>
    <s v="no"/>
    <s v="northeast"/>
    <n v="11763.000899999999"/>
  </r>
  <r>
    <n v="27"/>
    <s v="male"/>
    <n v="33.659999999999997"/>
    <x v="0"/>
    <s v="no"/>
    <s v="southeast"/>
    <n v="2498.4144000000001"/>
  </r>
  <r>
    <n v="51"/>
    <s v="male"/>
    <n v="22.42"/>
    <x v="0"/>
    <s v="no"/>
    <s v="northeast"/>
    <n v="9361.3268000000007"/>
  </r>
  <r>
    <n v="19"/>
    <s v="male"/>
    <n v="30.4"/>
    <x v="0"/>
    <s v="no"/>
    <s v="southwest"/>
    <n v="1256.299"/>
  </r>
  <r>
    <n v="39"/>
    <s v="male"/>
    <n v="28.3"/>
    <x v="1"/>
    <s v="yes"/>
    <s v="southwest"/>
    <n v="21082.16"/>
  </r>
  <r>
    <n v="58"/>
    <s v="male"/>
    <n v="35.700000000000003"/>
    <x v="0"/>
    <s v="no"/>
    <s v="southwest"/>
    <n v="11362.754999999999"/>
  </r>
  <r>
    <n v="20"/>
    <s v="male"/>
    <n v="35.31"/>
    <x v="1"/>
    <s v="no"/>
    <s v="southeast"/>
    <n v="27724.28875"/>
  </r>
  <r>
    <n v="45"/>
    <s v="male"/>
    <n v="30.495000000000001"/>
    <x v="3"/>
    <s v="no"/>
    <s v="northwest"/>
    <n v="8413.4630500000003"/>
  </r>
  <r>
    <n v="35"/>
    <s v="female"/>
    <n v="31"/>
    <x v="1"/>
    <s v="no"/>
    <s v="southwest"/>
    <n v="5240.7650000000003"/>
  </r>
  <r>
    <n v="31"/>
    <s v="male"/>
    <n v="30.875"/>
    <x v="0"/>
    <s v="no"/>
    <s v="northeast"/>
    <n v="3857.7592500000001"/>
  </r>
  <r>
    <n v="50"/>
    <s v="female"/>
    <n v="27.36"/>
    <x v="0"/>
    <s v="no"/>
    <s v="northeast"/>
    <n v="25656.575260000001"/>
  </r>
  <r>
    <n v="32"/>
    <s v="female"/>
    <n v="44.22"/>
    <x v="0"/>
    <s v="no"/>
    <s v="southeast"/>
    <n v="3994.1777999999999"/>
  </r>
  <r>
    <n v="51"/>
    <s v="female"/>
    <n v="33.914999999999999"/>
    <x v="0"/>
    <s v="no"/>
    <s v="northeast"/>
    <n v="9866.3048500000004"/>
  </r>
  <r>
    <n v="38"/>
    <s v="female"/>
    <n v="37.729999999999997"/>
    <x v="0"/>
    <s v="no"/>
    <s v="southeast"/>
    <n v="5397.6166999999996"/>
  </r>
  <r>
    <n v="42"/>
    <s v="male"/>
    <n v="26.07"/>
    <x v="1"/>
    <s v="yes"/>
    <s v="southeast"/>
    <n v="38245.593269999998"/>
  </r>
  <r>
    <n v="18"/>
    <s v="female"/>
    <n v="33.880000000000003"/>
    <x v="0"/>
    <s v="no"/>
    <s v="southeast"/>
    <n v="11482.63485"/>
  </r>
  <r>
    <n v="19"/>
    <s v="female"/>
    <n v="30.59"/>
    <x v="3"/>
    <s v="no"/>
    <s v="northwest"/>
    <n v="24059.680189999999"/>
  </r>
  <r>
    <n v="51"/>
    <s v="female"/>
    <n v="25.8"/>
    <x v="1"/>
    <s v="no"/>
    <s v="southwest"/>
    <n v="9861.0249999999996"/>
  </r>
  <r>
    <n v="46"/>
    <s v="male"/>
    <n v="39.424999999999997"/>
    <x v="1"/>
    <s v="no"/>
    <s v="northeast"/>
    <n v="8342.9087500000005"/>
  </r>
  <r>
    <n v="18"/>
    <s v="male"/>
    <n v="25.46"/>
    <x v="0"/>
    <s v="no"/>
    <s v="northeast"/>
    <n v="1708.0014000000001"/>
  </r>
  <r>
    <n v="57"/>
    <s v="male"/>
    <n v="42.13"/>
    <x v="1"/>
    <s v="yes"/>
    <s v="southeast"/>
    <n v="48675.517699999997"/>
  </r>
  <r>
    <n v="62"/>
    <s v="female"/>
    <n v="31.73"/>
    <x v="0"/>
    <s v="no"/>
    <s v="northeast"/>
    <n v="14043.476699999999"/>
  </r>
  <r>
    <n v="59"/>
    <s v="male"/>
    <n v="29.7"/>
    <x v="3"/>
    <s v="no"/>
    <s v="southeast"/>
    <n v="12925.886"/>
  </r>
  <r>
    <n v="37"/>
    <s v="male"/>
    <n v="36.19"/>
    <x v="0"/>
    <s v="no"/>
    <s v="southeast"/>
    <n v="19214.705529999999"/>
  </r>
  <r>
    <n v="64"/>
    <s v="male"/>
    <n v="40.479999999999997"/>
    <x v="0"/>
    <s v="no"/>
    <s v="southeast"/>
    <n v="13831.1152"/>
  </r>
  <r>
    <n v="38"/>
    <s v="male"/>
    <n v="28.024999999999999"/>
    <x v="1"/>
    <s v="no"/>
    <s v="northeast"/>
    <n v="6067.1267500000004"/>
  </r>
  <r>
    <n v="33"/>
    <s v="female"/>
    <n v="38.9"/>
    <x v="2"/>
    <s v="no"/>
    <s v="southwest"/>
    <n v="5972.3779999999997"/>
  </r>
  <r>
    <n v="46"/>
    <s v="female"/>
    <n v="30.2"/>
    <x v="3"/>
    <s v="no"/>
    <s v="southwest"/>
    <n v="8825.0859999999993"/>
  </r>
  <r>
    <n v="46"/>
    <s v="female"/>
    <n v="28.05"/>
    <x v="1"/>
    <s v="no"/>
    <s v="southeast"/>
    <n v="8233.0974999999999"/>
  </r>
  <r>
    <n v="53"/>
    <s v="male"/>
    <n v="31.35"/>
    <x v="0"/>
    <s v="no"/>
    <s v="southeast"/>
    <n v="27346.04207"/>
  </r>
  <r>
    <n v="34"/>
    <s v="female"/>
    <n v="38"/>
    <x v="2"/>
    <s v="no"/>
    <s v="southwest"/>
    <n v="6196.4480000000003"/>
  </r>
  <r>
    <n v="20"/>
    <s v="female"/>
    <n v="31.79"/>
    <x v="3"/>
    <s v="no"/>
    <s v="southeast"/>
    <n v="3056.3881000000001"/>
  </r>
  <r>
    <n v="63"/>
    <s v="female"/>
    <n v="36.299999999999997"/>
    <x v="0"/>
    <s v="no"/>
    <s v="southeast"/>
    <n v="13887.204"/>
  </r>
  <r>
    <n v="54"/>
    <s v="female"/>
    <n v="47.41"/>
    <x v="0"/>
    <s v="yes"/>
    <s v="southeast"/>
    <n v="63770.428010000003"/>
  </r>
  <r>
    <n v="54"/>
    <s v="male"/>
    <n v="30.21"/>
    <x v="0"/>
    <s v="no"/>
    <s v="northwest"/>
    <n v="10231.499900000001"/>
  </r>
  <r>
    <n v="49"/>
    <s v="male"/>
    <n v="25.84"/>
    <x v="3"/>
    <s v="yes"/>
    <s v="northwest"/>
    <n v="23807.240600000001"/>
  </r>
  <r>
    <n v="28"/>
    <s v="male"/>
    <n v="35.435000000000002"/>
    <x v="0"/>
    <s v="no"/>
    <s v="northeast"/>
    <n v="3268.84665"/>
  </r>
  <r>
    <n v="54"/>
    <s v="female"/>
    <n v="46.7"/>
    <x v="3"/>
    <s v="no"/>
    <s v="southwest"/>
    <n v="11538.421"/>
  </r>
  <r>
    <n v="25"/>
    <s v="female"/>
    <n v="28.594999999999999"/>
    <x v="0"/>
    <s v="no"/>
    <s v="northeast"/>
    <n v="3213.6220499999999"/>
  </r>
  <r>
    <n v="43"/>
    <s v="female"/>
    <n v="46.2"/>
    <x v="0"/>
    <s v="yes"/>
    <s v="southeast"/>
    <n v="45863.205000000002"/>
  </r>
  <r>
    <n v="63"/>
    <s v="male"/>
    <n v="30.8"/>
    <x v="0"/>
    <s v="no"/>
    <s v="southwest"/>
    <n v="13390.558999999999"/>
  </r>
  <r>
    <n v="32"/>
    <s v="female"/>
    <n v="28.93"/>
    <x v="0"/>
    <s v="no"/>
    <s v="southeast"/>
    <n v="3972.9247"/>
  </r>
  <r>
    <n v="62"/>
    <s v="male"/>
    <n v="21.4"/>
    <x v="0"/>
    <s v="no"/>
    <s v="southwest"/>
    <n v="12957.118"/>
  </r>
  <r>
    <n v="52"/>
    <s v="female"/>
    <n v="31.73"/>
    <x v="3"/>
    <s v="no"/>
    <s v="northwest"/>
    <n v="11187.6567"/>
  </r>
  <r>
    <n v="25"/>
    <s v="female"/>
    <n v="41.325000000000003"/>
    <x v="0"/>
    <s v="no"/>
    <s v="northeast"/>
    <n v="17878.900679999999"/>
  </r>
  <r>
    <n v="28"/>
    <s v="male"/>
    <n v="23.8"/>
    <x v="3"/>
    <s v="no"/>
    <s v="southwest"/>
    <n v="3847.674"/>
  </r>
  <r>
    <n v="46"/>
    <s v="male"/>
    <n v="33.44"/>
    <x v="1"/>
    <s v="no"/>
    <s v="northeast"/>
    <n v="8334.5895999999993"/>
  </r>
  <r>
    <n v="34"/>
    <s v="male"/>
    <n v="34.21"/>
    <x v="0"/>
    <s v="no"/>
    <s v="southeast"/>
    <n v="3935.1799000000001"/>
  </r>
  <r>
    <n v="35"/>
    <s v="female"/>
    <n v="34.104999999999997"/>
    <x v="2"/>
    <s v="yes"/>
    <s v="northwest"/>
    <n v="39983.425949999997"/>
  </r>
  <r>
    <n v="19"/>
    <s v="male"/>
    <n v="35.53"/>
    <x v="0"/>
    <s v="no"/>
    <s v="northwest"/>
    <n v="1646.4296999999999"/>
  </r>
  <r>
    <n v="46"/>
    <s v="female"/>
    <n v="19.95"/>
    <x v="3"/>
    <s v="no"/>
    <s v="northwest"/>
    <n v="9193.8384999999998"/>
  </r>
  <r>
    <n v="54"/>
    <s v="female"/>
    <n v="32.68"/>
    <x v="0"/>
    <s v="no"/>
    <s v="northeast"/>
    <n v="10923.933199999999"/>
  </r>
  <r>
    <n v="27"/>
    <s v="male"/>
    <n v="30.5"/>
    <x v="0"/>
    <s v="no"/>
    <s v="southwest"/>
    <n v="2494.0219999999999"/>
  </r>
  <r>
    <n v="50"/>
    <s v="male"/>
    <n v="44.77"/>
    <x v="1"/>
    <s v="no"/>
    <s v="southeast"/>
    <n v="9058.7302999999993"/>
  </r>
  <r>
    <n v="18"/>
    <s v="female"/>
    <n v="32.119999999999997"/>
    <x v="3"/>
    <s v="no"/>
    <s v="southeast"/>
    <n v="2801.2588000000001"/>
  </r>
  <r>
    <n v="19"/>
    <s v="female"/>
    <n v="30.495000000000001"/>
    <x v="0"/>
    <s v="no"/>
    <s v="northwest"/>
    <n v="2128.4310500000001"/>
  </r>
  <r>
    <n v="38"/>
    <s v="female"/>
    <n v="40.564999999999998"/>
    <x v="1"/>
    <s v="no"/>
    <s v="northwest"/>
    <n v="6373.55735"/>
  </r>
  <r>
    <n v="41"/>
    <s v="male"/>
    <n v="30.59"/>
    <x v="3"/>
    <s v="no"/>
    <s v="northwest"/>
    <n v="7256.7231000000002"/>
  </r>
  <r>
    <n v="49"/>
    <s v="female"/>
    <n v="31.9"/>
    <x v="4"/>
    <s v="no"/>
    <s v="southwest"/>
    <n v="11552.904"/>
  </r>
  <r>
    <n v="48"/>
    <s v="male"/>
    <n v="40.564999999999998"/>
    <x v="3"/>
    <s v="yes"/>
    <s v="northwest"/>
    <n v="45702.022349999999"/>
  </r>
  <r>
    <n v="31"/>
    <s v="female"/>
    <n v="29.1"/>
    <x v="0"/>
    <s v="no"/>
    <s v="southwest"/>
    <n v="3761.2919999999999"/>
  </r>
  <r>
    <n v="18"/>
    <s v="female"/>
    <n v="37.29"/>
    <x v="1"/>
    <s v="no"/>
    <s v="southeast"/>
    <n v="2219.4450999999999"/>
  </r>
  <r>
    <n v="30"/>
    <s v="female"/>
    <n v="43.12"/>
    <x v="3"/>
    <s v="no"/>
    <s v="southeast"/>
    <n v="4753.6368000000002"/>
  </r>
  <r>
    <n v="62"/>
    <s v="female"/>
    <n v="36.86"/>
    <x v="1"/>
    <s v="no"/>
    <s v="northeast"/>
    <n v="31620.001059999999"/>
  </r>
  <r>
    <n v="57"/>
    <s v="female"/>
    <n v="34.295000000000002"/>
    <x v="3"/>
    <s v="no"/>
    <s v="northeast"/>
    <n v="13224.057049999999"/>
  </r>
  <r>
    <n v="58"/>
    <s v="female"/>
    <n v="27.17"/>
    <x v="0"/>
    <s v="no"/>
    <s v="northwest"/>
    <n v="12222.898300000001"/>
  </r>
  <r>
    <n v="22"/>
    <s v="male"/>
    <n v="26.84"/>
    <x v="0"/>
    <s v="no"/>
    <s v="southeast"/>
    <n v="1664.9996000000001"/>
  </r>
  <r>
    <n v="31"/>
    <s v="female"/>
    <n v="38.094999999999999"/>
    <x v="1"/>
    <s v="yes"/>
    <s v="northeast"/>
    <n v="58571.074480000003"/>
  </r>
  <r>
    <n v="52"/>
    <s v="male"/>
    <n v="30.2"/>
    <x v="1"/>
    <s v="no"/>
    <s v="southwest"/>
    <n v="9724.5300000000007"/>
  </r>
  <r>
    <n v="25"/>
    <s v="female"/>
    <n v="23.465"/>
    <x v="0"/>
    <s v="no"/>
    <s v="northeast"/>
    <n v="3206.4913499999998"/>
  </r>
  <r>
    <n v="59"/>
    <s v="male"/>
    <n v="25.46"/>
    <x v="1"/>
    <s v="no"/>
    <s v="northeast"/>
    <n v="12913.992399999999"/>
  </r>
  <r>
    <n v="19"/>
    <s v="male"/>
    <n v="30.59"/>
    <x v="0"/>
    <s v="no"/>
    <s v="northwest"/>
    <n v="1639.5631000000001"/>
  </r>
  <r>
    <n v="39"/>
    <s v="male"/>
    <n v="45.43"/>
    <x v="3"/>
    <s v="no"/>
    <s v="southeast"/>
    <n v="6356.2707"/>
  </r>
  <r>
    <n v="32"/>
    <s v="female"/>
    <n v="23.65"/>
    <x v="1"/>
    <s v="no"/>
    <s v="southeast"/>
    <n v="17626.239509999999"/>
  </r>
  <r>
    <n v="19"/>
    <s v="male"/>
    <n v="20.7"/>
    <x v="0"/>
    <s v="no"/>
    <s v="southwest"/>
    <n v="1242.816"/>
  </r>
  <r>
    <n v="33"/>
    <s v="female"/>
    <n v="28.27"/>
    <x v="1"/>
    <s v="no"/>
    <s v="southeast"/>
    <n v="4779.6022999999996"/>
  </r>
  <r>
    <n v="21"/>
    <s v="male"/>
    <n v="20.234999999999999"/>
    <x v="2"/>
    <s v="no"/>
    <s v="northeast"/>
    <n v="3861.2096499999998"/>
  </r>
  <r>
    <n v="34"/>
    <s v="female"/>
    <n v="30.21"/>
    <x v="1"/>
    <s v="yes"/>
    <s v="northwest"/>
    <n v="43943.876100000001"/>
  </r>
  <r>
    <n v="61"/>
    <s v="female"/>
    <n v="35.909999999999997"/>
    <x v="0"/>
    <s v="no"/>
    <s v="northeast"/>
    <n v="13635.6379"/>
  </r>
  <r>
    <n v="38"/>
    <s v="female"/>
    <n v="30.69"/>
    <x v="1"/>
    <s v="no"/>
    <s v="southeast"/>
    <n v="5976.8311000000003"/>
  </r>
  <r>
    <n v="58"/>
    <s v="female"/>
    <n v="29"/>
    <x v="0"/>
    <s v="no"/>
    <s v="southwest"/>
    <n v="11842.441999999999"/>
  </r>
  <r>
    <n v="47"/>
    <s v="male"/>
    <n v="19.57"/>
    <x v="1"/>
    <s v="no"/>
    <s v="northwest"/>
    <n v="8428.0692999999992"/>
  </r>
  <r>
    <n v="20"/>
    <s v="male"/>
    <n v="31.13"/>
    <x v="3"/>
    <s v="no"/>
    <s v="southeast"/>
    <n v="2566.4706999999999"/>
  </r>
  <r>
    <n v="21"/>
    <s v="female"/>
    <n v="21.85"/>
    <x v="1"/>
    <s v="yes"/>
    <s v="northeast"/>
    <n v="15359.104499999999"/>
  </r>
  <r>
    <n v="41"/>
    <s v="male"/>
    <n v="40.26"/>
    <x v="0"/>
    <s v="no"/>
    <s v="southeast"/>
    <n v="5709.1643999999997"/>
  </r>
  <r>
    <n v="46"/>
    <s v="female"/>
    <n v="33.725000000000001"/>
    <x v="1"/>
    <s v="no"/>
    <s v="northeast"/>
    <n v="8823.9857499999998"/>
  </r>
  <r>
    <n v="42"/>
    <s v="female"/>
    <n v="29.48"/>
    <x v="3"/>
    <s v="no"/>
    <s v="southeast"/>
    <n v="7640.3091999999997"/>
  </r>
  <r>
    <n v="34"/>
    <s v="female"/>
    <n v="33.25"/>
    <x v="1"/>
    <s v="no"/>
    <s v="northeast"/>
    <n v="5594.8455000000004"/>
  </r>
  <r>
    <n v="43"/>
    <s v="male"/>
    <n v="32.6"/>
    <x v="3"/>
    <s v="no"/>
    <s v="southwest"/>
    <n v="7441.5010000000002"/>
  </r>
  <r>
    <n v="52"/>
    <s v="female"/>
    <n v="37.524999999999999"/>
    <x v="3"/>
    <s v="no"/>
    <s v="northwest"/>
    <n v="33471.971890000001"/>
  </r>
  <r>
    <n v="18"/>
    <s v="female"/>
    <n v="39.159999999999997"/>
    <x v="0"/>
    <s v="no"/>
    <s v="southeast"/>
    <n v="1633.0444"/>
  </r>
  <r>
    <n v="51"/>
    <s v="male"/>
    <n v="31.635000000000002"/>
    <x v="0"/>
    <s v="no"/>
    <s v="northwest"/>
    <n v="9174.1356500000002"/>
  </r>
  <r>
    <n v="56"/>
    <s v="female"/>
    <n v="25.3"/>
    <x v="0"/>
    <s v="no"/>
    <s v="southwest"/>
    <n v="11070.535"/>
  </r>
  <r>
    <n v="64"/>
    <s v="female"/>
    <n v="39.049999999999997"/>
    <x v="2"/>
    <s v="no"/>
    <s v="southeast"/>
    <n v="16085.127500000001"/>
  </r>
  <r>
    <n v="19"/>
    <s v="female"/>
    <n v="28.31"/>
    <x v="0"/>
    <s v="yes"/>
    <s v="northwest"/>
    <n v="17468.983899999999"/>
  </r>
  <r>
    <n v="51"/>
    <s v="female"/>
    <n v="34.1"/>
    <x v="0"/>
    <s v="no"/>
    <s v="southeast"/>
    <n v="9283.5619999999999"/>
  </r>
  <r>
    <n v="27"/>
    <s v="female"/>
    <n v="25.175000000000001"/>
    <x v="0"/>
    <s v="no"/>
    <s v="northeast"/>
    <n v="3558.6202499999999"/>
  </r>
  <r>
    <n v="59"/>
    <s v="female"/>
    <n v="23.655000000000001"/>
    <x v="0"/>
    <s v="yes"/>
    <s v="northwest"/>
    <n v="25678.778450000002"/>
  </r>
  <r>
    <n v="28"/>
    <s v="male"/>
    <n v="26.98"/>
    <x v="3"/>
    <s v="no"/>
    <s v="northeast"/>
    <n v="4435.0941999999995"/>
  </r>
  <r>
    <n v="30"/>
    <s v="male"/>
    <n v="37.799999999999997"/>
    <x v="3"/>
    <s v="yes"/>
    <s v="southwest"/>
    <n v="39241.442000000003"/>
  </r>
  <r>
    <n v="47"/>
    <s v="female"/>
    <n v="29.37"/>
    <x v="1"/>
    <s v="no"/>
    <s v="southeast"/>
    <n v="8547.6913000000004"/>
  </r>
  <r>
    <n v="38"/>
    <s v="female"/>
    <n v="34.799999999999997"/>
    <x v="3"/>
    <s v="no"/>
    <s v="southwest"/>
    <n v="6571.5439999999999"/>
  </r>
  <r>
    <n v="18"/>
    <s v="female"/>
    <n v="33.155000000000001"/>
    <x v="0"/>
    <s v="no"/>
    <s v="northeast"/>
    <n v="2207.6974500000001"/>
  </r>
  <r>
    <n v="34"/>
    <s v="female"/>
    <n v="19"/>
    <x v="2"/>
    <s v="no"/>
    <s v="northeast"/>
    <n v="6753.0379999999996"/>
  </r>
  <r>
    <n v="20"/>
    <s v="female"/>
    <n v="33"/>
    <x v="0"/>
    <s v="no"/>
    <s v="southeast"/>
    <n v="1880.07"/>
  </r>
  <r>
    <n v="47"/>
    <s v="female"/>
    <n v="36.630000000000003"/>
    <x v="1"/>
    <s v="yes"/>
    <s v="southeast"/>
    <n v="42969.852700000003"/>
  </r>
  <r>
    <n v="56"/>
    <s v="female"/>
    <n v="28.594999999999999"/>
    <x v="0"/>
    <s v="no"/>
    <s v="northeast"/>
    <n v="11658.11505"/>
  </r>
  <r>
    <n v="49"/>
    <s v="male"/>
    <n v="25.6"/>
    <x v="3"/>
    <s v="yes"/>
    <s v="southwest"/>
    <n v="23306.546999999999"/>
  </r>
  <r>
    <n v="19"/>
    <s v="female"/>
    <n v="33.11"/>
    <x v="0"/>
    <s v="yes"/>
    <s v="southeast"/>
    <n v="34439.855900000002"/>
  </r>
  <r>
    <n v="55"/>
    <s v="female"/>
    <n v="37.1"/>
    <x v="0"/>
    <s v="no"/>
    <s v="southwest"/>
    <n v="10713.644"/>
  </r>
  <r>
    <n v="30"/>
    <s v="male"/>
    <n v="31.4"/>
    <x v="1"/>
    <s v="no"/>
    <s v="southwest"/>
    <n v="3659.346"/>
  </r>
  <r>
    <n v="37"/>
    <s v="male"/>
    <n v="34.1"/>
    <x v="5"/>
    <s v="yes"/>
    <s v="southwest"/>
    <n v="40182.245999999999"/>
  </r>
  <r>
    <n v="49"/>
    <s v="female"/>
    <n v="21.3"/>
    <x v="1"/>
    <s v="no"/>
    <s v="southwest"/>
    <n v="9182.17"/>
  </r>
  <r>
    <n v="18"/>
    <s v="male"/>
    <n v="33.534999999999997"/>
    <x v="0"/>
    <s v="yes"/>
    <s v="northeast"/>
    <n v="34617.840649999998"/>
  </r>
  <r>
    <n v="59"/>
    <s v="male"/>
    <n v="28.785"/>
    <x v="0"/>
    <s v="no"/>
    <s v="northwest"/>
    <n v="12129.614149999999"/>
  </r>
  <r>
    <n v="29"/>
    <s v="female"/>
    <n v="26.03"/>
    <x v="0"/>
    <s v="no"/>
    <s v="northwest"/>
    <n v="3736.4647"/>
  </r>
  <r>
    <n v="36"/>
    <s v="male"/>
    <n v="28.88"/>
    <x v="2"/>
    <s v="no"/>
    <s v="northeast"/>
    <n v="6748.5911999999998"/>
  </r>
  <r>
    <n v="33"/>
    <s v="male"/>
    <n v="42.46"/>
    <x v="1"/>
    <s v="no"/>
    <s v="southeast"/>
    <n v="11326.71487"/>
  </r>
  <r>
    <n v="58"/>
    <s v="male"/>
    <n v="38"/>
    <x v="0"/>
    <s v="no"/>
    <s v="southwest"/>
    <n v="11365.951999999999"/>
  </r>
  <r>
    <n v="44"/>
    <s v="female"/>
    <n v="38.950000000000003"/>
    <x v="0"/>
    <s v="yes"/>
    <s v="northwest"/>
    <n v="42983.458500000001"/>
  </r>
  <r>
    <n v="53"/>
    <s v="male"/>
    <n v="36.1"/>
    <x v="1"/>
    <s v="no"/>
    <s v="southwest"/>
    <n v="10085.846"/>
  </r>
  <r>
    <n v="24"/>
    <s v="male"/>
    <n v="29.3"/>
    <x v="0"/>
    <s v="no"/>
    <s v="southwest"/>
    <n v="1977.8150000000001"/>
  </r>
  <r>
    <n v="29"/>
    <s v="female"/>
    <n v="35.53"/>
    <x v="0"/>
    <s v="no"/>
    <s v="southeast"/>
    <n v="3366.6696999999999"/>
  </r>
  <r>
    <n v="40"/>
    <s v="male"/>
    <n v="22.704999999999998"/>
    <x v="3"/>
    <s v="no"/>
    <s v="northeast"/>
    <n v="7173.35995"/>
  </r>
  <r>
    <n v="51"/>
    <s v="male"/>
    <n v="39.700000000000003"/>
    <x v="1"/>
    <s v="no"/>
    <s v="southwest"/>
    <n v="9391.3459999999995"/>
  </r>
  <r>
    <n v="64"/>
    <s v="male"/>
    <n v="38.19"/>
    <x v="0"/>
    <s v="no"/>
    <s v="northeast"/>
    <n v="14410.9321"/>
  </r>
  <r>
    <n v="19"/>
    <s v="female"/>
    <n v="24.51"/>
    <x v="1"/>
    <s v="no"/>
    <s v="northwest"/>
    <n v="2709.1118999999999"/>
  </r>
  <r>
    <n v="35"/>
    <s v="female"/>
    <n v="38.094999999999999"/>
    <x v="3"/>
    <s v="no"/>
    <s v="northeast"/>
    <n v="24915.046259999999"/>
  </r>
  <r>
    <n v="39"/>
    <s v="male"/>
    <n v="26.41"/>
    <x v="0"/>
    <s v="yes"/>
    <s v="northeast"/>
    <n v="20149.322899999999"/>
  </r>
  <r>
    <n v="56"/>
    <s v="male"/>
    <n v="33.659999999999997"/>
    <x v="5"/>
    <s v="no"/>
    <s v="southeast"/>
    <n v="12949.1554"/>
  </r>
  <r>
    <n v="33"/>
    <s v="male"/>
    <n v="42.4"/>
    <x v="4"/>
    <s v="no"/>
    <s v="southwest"/>
    <n v="6666.2430000000004"/>
  </r>
  <r>
    <n v="42"/>
    <s v="male"/>
    <n v="28.31"/>
    <x v="2"/>
    <s v="yes"/>
    <s v="northwest"/>
    <n v="32787.458590000002"/>
  </r>
  <r>
    <n v="61"/>
    <s v="male"/>
    <n v="33.914999999999999"/>
    <x v="0"/>
    <s v="no"/>
    <s v="northeast"/>
    <n v="13143.86485"/>
  </r>
  <r>
    <n v="23"/>
    <s v="female"/>
    <n v="34.96"/>
    <x v="2"/>
    <s v="no"/>
    <s v="northwest"/>
    <n v="4466.6214"/>
  </r>
  <r>
    <n v="43"/>
    <s v="male"/>
    <n v="35.31"/>
    <x v="3"/>
    <s v="no"/>
    <s v="southeast"/>
    <n v="18806.145469999999"/>
  </r>
  <r>
    <n v="48"/>
    <s v="male"/>
    <n v="30.78"/>
    <x v="2"/>
    <s v="no"/>
    <s v="northeast"/>
    <n v="10141.136200000001"/>
  </r>
  <r>
    <n v="39"/>
    <s v="male"/>
    <n v="26.22"/>
    <x v="1"/>
    <s v="no"/>
    <s v="northwest"/>
    <n v="6123.5688"/>
  </r>
  <r>
    <n v="40"/>
    <s v="female"/>
    <n v="23.37"/>
    <x v="2"/>
    <s v="no"/>
    <s v="northeast"/>
    <n v="8252.2842999999993"/>
  </r>
  <r>
    <n v="18"/>
    <s v="male"/>
    <n v="28.5"/>
    <x v="0"/>
    <s v="no"/>
    <s v="northeast"/>
    <n v="1712.2270000000001"/>
  </r>
  <r>
    <n v="58"/>
    <s v="female"/>
    <n v="32.965000000000003"/>
    <x v="0"/>
    <s v="no"/>
    <s v="northeast"/>
    <n v="12430.95335"/>
  </r>
  <r>
    <n v="49"/>
    <s v="female"/>
    <n v="42.68"/>
    <x v="3"/>
    <s v="no"/>
    <s v="southeast"/>
    <n v="9800.8881999999994"/>
  </r>
  <r>
    <n v="53"/>
    <s v="female"/>
    <n v="39.6"/>
    <x v="1"/>
    <s v="no"/>
    <s v="southeast"/>
    <n v="10579.710999999999"/>
  </r>
  <r>
    <n v="48"/>
    <s v="female"/>
    <n v="31.13"/>
    <x v="0"/>
    <s v="no"/>
    <s v="southeast"/>
    <n v="8280.6226999999999"/>
  </r>
  <r>
    <n v="45"/>
    <s v="female"/>
    <n v="36.299999999999997"/>
    <x v="3"/>
    <s v="no"/>
    <s v="southeast"/>
    <n v="8527.5319999999992"/>
  </r>
  <r>
    <n v="59"/>
    <s v="female"/>
    <n v="35.200000000000003"/>
    <x v="0"/>
    <s v="no"/>
    <s v="southeast"/>
    <n v="12244.531000000001"/>
  </r>
  <r>
    <n v="52"/>
    <s v="female"/>
    <n v="25.3"/>
    <x v="3"/>
    <s v="yes"/>
    <s v="southeast"/>
    <n v="24667.419000000002"/>
  </r>
  <r>
    <n v="26"/>
    <s v="female"/>
    <n v="42.4"/>
    <x v="1"/>
    <s v="no"/>
    <s v="southwest"/>
    <n v="3410.3240000000001"/>
  </r>
  <r>
    <n v="27"/>
    <s v="male"/>
    <n v="33.155000000000001"/>
    <x v="3"/>
    <s v="no"/>
    <s v="northwest"/>
    <n v="4058.71245"/>
  </r>
  <r>
    <n v="48"/>
    <s v="female"/>
    <n v="35.909999999999997"/>
    <x v="1"/>
    <s v="no"/>
    <s v="northeast"/>
    <n v="26392.260289999998"/>
  </r>
  <r>
    <n v="57"/>
    <s v="female"/>
    <n v="28.785"/>
    <x v="5"/>
    <s v="no"/>
    <s v="northeast"/>
    <n v="14394.398150000001"/>
  </r>
  <r>
    <n v="37"/>
    <s v="male"/>
    <n v="46.53"/>
    <x v="2"/>
    <s v="no"/>
    <s v="southeast"/>
    <n v="6435.6237000000001"/>
  </r>
  <r>
    <n v="57"/>
    <s v="female"/>
    <n v="23.98"/>
    <x v="1"/>
    <s v="no"/>
    <s v="southeast"/>
    <n v="22192.437109999999"/>
  </r>
  <r>
    <n v="32"/>
    <s v="female"/>
    <n v="31.54"/>
    <x v="1"/>
    <s v="no"/>
    <s v="northeast"/>
    <n v="5148.5526"/>
  </r>
  <r>
    <n v="18"/>
    <s v="male"/>
    <n v="33.659999999999997"/>
    <x v="0"/>
    <s v="no"/>
    <s v="southeast"/>
    <n v="1136.3994"/>
  </r>
  <r>
    <n v="64"/>
    <s v="female"/>
    <n v="22.99"/>
    <x v="0"/>
    <s v="yes"/>
    <s v="southeast"/>
    <n v="27037.914100000002"/>
  </r>
  <r>
    <n v="43"/>
    <s v="male"/>
    <n v="38.06"/>
    <x v="3"/>
    <s v="yes"/>
    <s v="southeast"/>
    <n v="42560.430399999997"/>
  </r>
  <r>
    <n v="49"/>
    <s v="male"/>
    <n v="28.7"/>
    <x v="1"/>
    <s v="no"/>
    <s v="southwest"/>
    <n v="8703.4560000000001"/>
  </r>
  <r>
    <n v="40"/>
    <s v="female"/>
    <n v="32.774999999999999"/>
    <x v="3"/>
    <s v="yes"/>
    <s v="northwest"/>
    <n v="40003.332249999999"/>
  </r>
  <r>
    <n v="62"/>
    <s v="male"/>
    <n v="32.015000000000001"/>
    <x v="0"/>
    <s v="yes"/>
    <s v="northeast"/>
    <n v="45710.207849999999"/>
  </r>
  <r>
    <n v="40"/>
    <s v="female"/>
    <n v="29.81"/>
    <x v="1"/>
    <s v="no"/>
    <s v="southeast"/>
    <n v="6500.2358999999997"/>
  </r>
  <r>
    <n v="30"/>
    <s v="male"/>
    <n v="31.57"/>
    <x v="2"/>
    <s v="no"/>
    <s v="southeast"/>
    <n v="4837.5823"/>
  </r>
  <r>
    <n v="29"/>
    <s v="female"/>
    <n v="31.16"/>
    <x v="0"/>
    <s v="no"/>
    <s v="northeast"/>
    <n v="3943.5954000000002"/>
  </r>
  <r>
    <n v="36"/>
    <s v="male"/>
    <n v="29.7"/>
    <x v="0"/>
    <s v="no"/>
    <s v="southeast"/>
    <n v="4399.7309999999998"/>
  </r>
  <r>
    <n v="41"/>
    <s v="female"/>
    <n v="31.02"/>
    <x v="0"/>
    <s v="no"/>
    <s v="southeast"/>
    <n v="6185.3208000000004"/>
  </r>
  <r>
    <n v="44"/>
    <s v="female"/>
    <n v="43.89"/>
    <x v="3"/>
    <s v="yes"/>
    <s v="southeast"/>
    <n v="46200.985099999998"/>
  </r>
  <r>
    <n v="45"/>
    <s v="male"/>
    <n v="21.375"/>
    <x v="0"/>
    <s v="no"/>
    <s v="northwest"/>
    <n v="7222.7862500000001"/>
  </r>
  <r>
    <n v="55"/>
    <s v="female"/>
    <n v="40.81"/>
    <x v="2"/>
    <s v="no"/>
    <s v="southeast"/>
    <n v="12485.8009"/>
  </r>
  <r>
    <n v="60"/>
    <s v="male"/>
    <n v="31.35"/>
    <x v="2"/>
    <s v="yes"/>
    <s v="northwest"/>
    <n v="46130.5265"/>
  </r>
  <r>
    <n v="56"/>
    <s v="male"/>
    <n v="36.1"/>
    <x v="2"/>
    <s v="no"/>
    <s v="southwest"/>
    <n v="12363.547"/>
  </r>
  <r>
    <n v="49"/>
    <s v="female"/>
    <n v="23.18"/>
    <x v="3"/>
    <s v="no"/>
    <s v="northwest"/>
    <n v="10156.7832"/>
  </r>
  <r>
    <n v="21"/>
    <s v="female"/>
    <n v="17.399999999999999"/>
    <x v="1"/>
    <s v="no"/>
    <s v="southwest"/>
    <n v="2585.2689999999998"/>
  </r>
  <r>
    <n v="19"/>
    <s v="male"/>
    <n v="20.3"/>
    <x v="0"/>
    <s v="no"/>
    <s v="southwest"/>
    <n v="1242.26"/>
  </r>
  <r>
    <n v="39"/>
    <s v="male"/>
    <n v="35.299999999999997"/>
    <x v="3"/>
    <s v="yes"/>
    <s v="southwest"/>
    <n v="40103.89"/>
  </r>
  <r>
    <n v="53"/>
    <s v="male"/>
    <n v="24.32"/>
    <x v="0"/>
    <s v="no"/>
    <s v="northwest"/>
    <n v="9863.4717999999993"/>
  </r>
  <r>
    <n v="33"/>
    <s v="female"/>
    <n v="18.5"/>
    <x v="1"/>
    <s v="no"/>
    <s v="southwest"/>
    <n v="4766.0219999999999"/>
  </r>
  <r>
    <n v="53"/>
    <s v="male"/>
    <n v="26.41"/>
    <x v="3"/>
    <s v="no"/>
    <s v="northeast"/>
    <n v="11244.376899999999"/>
  </r>
  <r>
    <n v="42"/>
    <s v="male"/>
    <n v="26.125"/>
    <x v="3"/>
    <s v="no"/>
    <s v="northeast"/>
    <n v="7729.6457499999997"/>
  </r>
  <r>
    <n v="40"/>
    <s v="male"/>
    <n v="41.69"/>
    <x v="0"/>
    <s v="no"/>
    <s v="southeast"/>
    <n v="5438.7491"/>
  </r>
  <r>
    <n v="47"/>
    <s v="female"/>
    <n v="24.1"/>
    <x v="1"/>
    <s v="no"/>
    <s v="southwest"/>
    <n v="26236.579969999999"/>
  </r>
  <r>
    <n v="27"/>
    <s v="male"/>
    <n v="31.13"/>
    <x v="1"/>
    <s v="yes"/>
    <s v="southeast"/>
    <n v="34806.467700000001"/>
  </r>
  <r>
    <n v="21"/>
    <s v="male"/>
    <n v="27.36"/>
    <x v="0"/>
    <s v="no"/>
    <s v="northeast"/>
    <n v="2104.1134000000002"/>
  </r>
  <r>
    <n v="47"/>
    <s v="male"/>
    <n v="36.200000000000003"/>
    <x v="1"/>
    <s v="no"/>
    <s v="southwest"/>
    <n v="8068.1850000000004"/>
  </r>
  <r>
    <n v="20"/>
    <s v="male"/>
    <n v="32.395000000000003"/>
    <x v="1"/>
    <s v="no"/>
    <s v="northwest"/>
    <n v="2362.2290499999999"/>
  </r>
  <r>
    <n v="24"/>
    <s v="male"/>
    <n v="23.655000000000001"/>
    <x v="0"/>
    <s v="no"/>
    <s v="northwest"/>
    <n v="2352.9684499999998"/>
  </r>
  <r>
    <n v="27"/>
    <s v="female"/>
    <n v="34.799999999999997"/>
    <x v="1"/>
    <s v="no"/>
    <s v="southwest"/>
    <n v="3577.9989999999998"/>
  </r>
  <r>
    <n v="26"/>
    <s v="female"/>
    <n v="40.185000000000002"/>
    <x v="0"/>
    <s v="no"/>
    <s v="northwest"/>
    <n v="3201.2451500000002"/>
  </r>
  <r>
    <n v="53"/>
    <s v="female"/>
    <n v="32.299999999999997"/>
    <x v="3"/>
    <s v="no"/>
    <s v="northeast"/>
    <n v="29186.482360000002"/>
  </r>
  <r>
    <n v="41"/>
    <s v="male"/>
    <n v="35.75"/>
    <x v="1"/>
    <s v="yes"/>
    <s v="southeast"/>
    <n v="40273.645499999999"/>
  </r>
  <r>
    <n v="56"/>
    <s v="male"/>
    <n v="33.725000000000001"/>
    <x v="0"/>
    <s v="no"/>
    <s v="northwest"/>
    <n v="10976.24575"/>
  </r>
  <r>
    <n v="23"/>
    <s v="female"/>
    <n v="39.270000000000003"/>
    <x v="3"/>
    <s v="no"/>
    <s v="southeast"/>
    <n v="3500.6122999999998"/>
  </r>
  <r>
    <n v="21"/>
    <s v="female"/>
    <n v="34.869999999999997"/>
    <x v="0"/>
    <s v="no"/>
    <s v="southeast"/>
    <n v="2020.5523000000001"/>
  </r>
  <r>
    <n v="50"/>
    <s v="female"/>
    <n v="44.744999999999997"/>
    <x v="0"/>
    <s v="no"/>
    <s v="northeast"/>
    <n v="9541.6955500000004"/>
  </r>
  <r>
    <n v="53"/>
    <s v="male"/>
    <n v="41.47"/>
    <x v="0"/>
    <s v="no"/>
    <s v="southeast"/>
    <n v="9504.3102999999992"/>
  </r>
  <r>
    <n v="34"/>
    <s v="female"/>
    <n v="26.41"/>
    <x v="1"/>
    <s v="no"/>
    <s v="northwest"/>
    <n v="5385.3379000000004"/>
  </r>
  <r>
    <n v="47"/>
    <s v="female"/>
    <n v="29.545000000000002"/>
    <x v="1"/>
    <s v="no"/>
    <s v="northwest"/>
    <n v="8930.9345499999999"/>
  </r>
  <r>
    <n v="33"/>
    <s v="female"/>
    <n v="32.9"/>
    <x v="3"/>
    <s v="no"/>
    <s v="southwest"/>
    <n v="5375.0379999999996"/>
  </r>
  <r>
    <n v="51"/>
    <s v="female"/>
    <n v="38.06"/>
    <x v="0"/>
    <s v="yes"/>
    <s v="southeast"/>
    <n v="44400.4064"/>
  </r>
  <r>
    <n v="49"/>
    <s v="male"/>
    <n v="28.69"/>
    <x v="2"/>
    <s v="no"/>
    <s v="northwest"/>
    <n v="10264.4421"/>
  </r>
  <r>
    <n v="31"/>
    <s v="female"/>
    <n v="30.495000000000001"/>
    <x v="2"/>
    <s v="no"/>
    <s v="northeast"/>
    <n v="6113.2310500000003"/>
  </r>
  <r>
    <n v="36"/>
    <s v="female"/>
    <n v="27.74"/>
    <x v="0"/>
    <s v="no"/>
    <s v="northeast"/>
    <n v="5469.0065999999997"/>
  </r>
  <r>
    <n v="18"/>
    <s v="male"/>
    <n v="35.200000000000003"/>
    <x v="1"/>
    <s v="no"/>
    <s v="southeast"/>
    <n v="1727.54"/>
  </r>
  <r>
    <n v="50"/>
    <s v="female"/>
    <n v="23.54"/>
    <x v="3"/>
    <s v="no"/>
    <s v="southeast"/>
    <n v="10107.220600000001"/>
  </r>
  <r>
    <n v="43"/>
    <s v="female"/>
    <n v="30.684999999999999"/>
    <x v="3"/>
    <s v="no"/>
    <s v="northwest"/>
    <n v="8310.8391499999998"/>
  </r>
  <r>
    <n v="20"/>
    <s v="male"/>
    <n v="40.47"/>
    <x v="0"/>
    <s v="no"/>
    <s v="northeast"/>
    <n v="1984.4532999999999"/>
  </r>
  <r>
    <n v="24"/>
    <s v="female"/>
    <n v="22.6"/>
    <x v="0"/>
    <s v="no"/>
    <s v="southwest"/>
    <n v="2457.502"/>
  </r>
  <r>
    <n v="60"/>
    <s v="male"/>
    <n v="28.9"/>
    <x v="0"/>
    <s v="no"/>
    <s v="southwest"/>
    <n v="12146.971"/>
  </r>
  <r>
    <n v="49"/>
    <s v="female"/>
    <n v="22.61"/>
    <x v="1"/>
    <s v="no"/>
    <s v="northwest"/>
    <n v="9566.9909000000007"/>
  </r>
  <r>
    <n v="60"/>
    <s v="male"/>
    <n v="24.32"/>
    <x v="1"/>
    <s v="no"/>
    <s v="northwest"/>
    <n v="13112.604799999999"/>
  </r>
  <r>
    <n v="51"/>
    <s v="female"/>
    <n v="36.67"/>
    <x v="3"/>
    <s v="no"/>
    <s v="northwest"/>
    <n v="10848.1343"/>
  </r>
  <r>
    <n v="58"/>
    <s v="female"/>
    <n v="33.44"/>
    <x v="0"/>
    <s v="no"/>
    <s v="northwest"/>
    <n v="12231.613600000001"/>
  </r>
  <r>
    <n v="51"/>
    <s v="female"/>
    <n v="40.659999999999997"/>
    <x v="0"/>
    <s v="no"/>
    <s v="northeast"/>
    <n v="9875.6803999999993"/>
  </r>
  <r>
    <n v="53"/>
    <s v="male"/>
    <n v="36.6"/>
    <x v="2"/>
    <s v="no"/>
    <s v="southwest"/>
    <n v="11264.540999999999"/>
  </r>
  <r>
    <n v="62"/>
    <s v="male"/>
    <n v="37.4"/>
    <x v="0"/>
    <s v="no"/>
    <s v="southwest"/>
    <n v="12979.358"/>
  </r>
  <r>
    <n v="19"/>
    <s v="male"/>
    <n v="35.4"/>
    <x v="0"/>
    <s v="no"/>
    <s v="southwest"/>
    <n v="1263.249"/>
  </r>
  <r>
    <n v="50"/>
    <s v="female"/>
    <n v="27.074999999999999"/>
    <x v="1"/>
    <s v="no"/>
    <s v="northeast"/>
    <n v="10106.134249999999"/>
  </r>
  <r>
    <n v="30"/>
    <s v="female"/>
    <n v="39.049999999999997"/>
    <x v="2"/>
    <s v="yes"/>
    <s v="southeast"/>
    <n v="40932.429499999998"/>
  </r>
  <r>
    <n v="41"/>
    <s v="male"/>
    <n v="28.405000000000001"/>
    <x v="1"/>
    <s v="no"/>
    <s v="northwest"/>
    <n v="6664.68595"/>
  </r>
  <r>
    <n v="29"/>
    <s v="female"/>
    <n v="21.754999999999999"/>
    <x v="1"/>
    <s v="yes"/>
    <s v="northeast"/>
    <n v="16657.71745"/>
  </r>
  <r>
    <n v="18"/>
    <s v="female"/>
    <n v="40.28"/>
    <x v="0"/>
    <s v="no"/>
    <s v="northeast"/>
    <n v="2217.6012000000001"/>
  </r>
  <r>
    <n v="41"/>
    <s v="female"/>
    <n v="36.08"/>
    <x v="1"/>
    <s v="no"/>
    <s v="southeast"/>
    <n v="6781.3541999999998"/>
  </r>
  <r>
    <n v="35"/>
    <s v="male"/>
    <n v="24.42"/>
    <x v="2"/>
    <s v="yes"/>
    <s v="southeast"/>
    <n v="19361.998800000001"/>
  </r>
  <r>
    <n v="53"/>
    <s v="male"/>
    <n v="21.4"/>
    <x v="1"/>
    <s v="no"/>
    <s v="southwest"/>
    <n v="10065.413"/>
  </r>
  <r>
    <n v="24"/>
    <s v="female"/>
    <n v="30.1"/>
    <x v="2"/>
    <s v="no"/>
    <s v="southwest"/>
    <n v="4234.9269999999997"/>
  </r>
  <r>
    <n v="48"/>
    <s v="female"/>
    <n v="27.265000000000001"/>
    <x v="1"/>
    <s v="no"/>
    <s v="northeast"/>
    <n v="9447.2503500000003"/>
  </r>
  <r>
    <n v="59"/>
    <s v="female"/>
    <n v="32.1"/>
    <x v="2"/>
    <s v="no"/>
    <s v="southwest"/>
    <n v="14007.222"/>
  </r>
  <r>
    <n v="49"/>
    <s v="female"/>
    <n v="34.770000000000003"/>
    <x v="1"/>
    <s v="no"/>
    <s v="northwest"/>
    <n v="9583.8932999999997"/>
  </r>
  <r>
    <n v="37"/>
    <s v="female"/>
    <n v="38.39"/>
    <x v="0"/>
    <s v="yes"/>
    <s v="southeast"/>
    <n v="40419.019099999998"/>
  </r>
  <r>
    <n v="26"/>
    <s v="male"/>
    <n v="23.7"/>
    <x v="3"/>
    <s v="no"/>
    <s v="southwest"/>
    <n v="3484.3310000000001"/>
  </r>
  <r>
    <n v="23"/>
    <s v="male"/>
    <n v="31.73"/>
    <x v="2"/>
    <s v="yes"/>
    <s v="northeast"/>
    <n v="36189.101699999999"/>
  </r>
  <r>
    <n v="29"/>
    <s v="male"/>
    <n v="35.5"/>
    <x v="3"/>
    <s v="yes"/>
    <s v="southwest"/>
    <n v="44585.455869999998"/>
  </r>
  <r>
    <n v="45"/>
    <s v="male"/>
    <n v="24.035"/>
    <x v="3"/>
    <s v="no"/>
    <s v="northeast"/>
    <n v="8604.4836500000001"/>
  </r>
  <r>
    <n v="27"/>
    <s v="male"/>
    <n v="29.15"/>
    <x v="0"/>
    <s v="yes"/>
    <s v="southeast"/>
    <n v="18246.495500000001"/>
  </r>
  <r>
    <n v="53"/>
    <s v="male"/>
    <n v="34.104999999999997"/>
    <x v="0"/>
    <s v="yes"/>
    <s v="northeast"/>
    <n v="43254.417950000003"/>
  </r>
  <r>
    <n v="31"/>
    <s v="female"/>
    <n v="26.62"/>
    <x v="0"/>
    <s v="no"/>
    <s v="southeast"/>
    <n v="3757.8447999999999"/>
  </r>
  <r>
    <n v="50"/>
    <s v="male"/>
    <n v="26.41"/>
    <x v="0"/>
    <s v="no"/>
    <s v="northwest"/>
    <n v="8827.2098999999998"/>
  </r>
  <r>
    <n v="50"/>
    <s v="female"/>
    <n v="30.114999999999998"/>
    <x v="1"/>
    <s v="no"/>
    <s v="northwest"/>
    <n v="9910.3598500000007"/>
  </r>
  <r>
    <n v="34"/>
    <s v="male"/>
    <n v="27"/>
    <x v="3"/>
    <s v="no"/>
    <s v="southwest"/>
    <n v="11737.848840000001"/>
  </r>
  <r>
    <n v="19"/>
    <s v="male"/>
    <n v="21.754999999999999"/>
    <x v="0"/>
    <s v="no"/>
    <s v="northwest"/>
    <n v="1627.2824499999999"/>
  </r>
  <r>
    <n v="47"/>
    <s v="female"/>
    <n v="36"/>
    <x v="1"/>
    <s v="no"/>
    <s v="southwest"/>
    <n v="8556.9069999999992"/>
  </r>
  <r>
    <n v="28"/>
    <s v="male"/>
    <n v="30.875"/>
    <x v="0"/>
    <s v="no"/>
    <s v="northwest"/>
    <n v="3062.5082499999999"/>
  </r>
  <r>
    <n v="37"/>
    <s v="female"/>
    <n v="26.4"/>
    <x v="0"/>
    <s v="yes"/>
    <s v="southeast"/>
    <n v="19539.242999999999"/>
  </r>
  <r>
    <n v="21"/>
    <s v="male"/>
    <n v="28.975000000000001"/>
    <x v="0"/>
    <s v="no"/>
    <s v="northwest"/>
    <n v="1906.35825"/>
  </r>
  <r>
    <n v="64"/>
    <s v="male"/>
    <n v="37.905000000000001"/>
    <x v="0"/>
    <s v="no"/>
    <s v="northwest"/>
    <n v="14210.53595"/>
  </r>
  <r>
    <n v="58"/>
    <s v="female"/>
    <n v="22.77"/>
    <x v="0"/>
    <s v="no"/>
    <s v="southeast"/>
    <n v="11833.782300000001"/>
  </r>
  <r>
    <n v="24"/>
    <s v="male"/>
    <n v="33.630000000000003"/>
    <x v="5"/>
    <s v="no"/>
    <s v="northeast"/>
    <n v="17128.426080000001"/>
  </r>
  <r>
    <n v="31"/>
    <s v="male"/>
    <n v="27.645"/>
    <x v="3"/>
    <s v="no"/>
    <s v="northeast"/>
    <n v="5031.26955"/>
  </r>
  <r>
    <n v="39"/>
    <s v="female"/>
    <n v="22.8"/>
    <x v="2"/>
    <s v="no"/>
    <s v="northeast"/>
    <n v="7985.8149999999996"/>
  </r>
  <r>
    <n v="47"/>
    <s v="female"/>
    <n v="27.83"/>
    <x v="0"/>
    <s v="yes"/>
    <s v="southeast"/>
    <n v="23065.420699999999"/>
  </r>
  <r>
    <n v="30"/>
    <s v="male"/>
    <n v="37.43"/>
    <x v="2"/>
    <s v="no"/>
    <s v="northeast"/>
    <n v="5428.7277000000004"/>
  </r>
  <r>
    <n v="18"/>
    <s v="male"/>
    <n v="38.17"/>
    <x v="0"/>
    <s v="yes"/>
    <s v="southeast"/>
    <n v="36307.798300000002"/>
  </r>
  <r>
    <n v="22"/>
    <s v="female"/>
    <n v="34.58"/>
    <x v="3"/>
    <s v="no"/>
    <s v="northeast"/>
    <n v="3925.7582000000002"/>
  </r>
  <r>
    <n v="23"/>
    <s v="male"/>
    <n v="35.200000000000003"/>
    <x v="1"/>
    <s v="no"/>
    <s v="southwest"/>
    <n v="2416.9549999999999"/>
  </r>
  <r>
    <n v="33"/>
    <s v="male"/>
    <n v="27.1"/>
    <x v="1"/>
    <s v="yes"/>
    <s v="southwest"/>
    <n v="19040.876"/>
  </r>
  <r>
    <n v="27"/>
    <s v="male"/>
    <n v="26.03"/>
    <x v="0"/>
    <s v="no"/>
    <s v="northeast"/>
    <n v="3070.8087"/>
  </r>
  <r>
    <n v="45"/>
    <s v="female"/>
    <n v="25.175000000000001"/>
    <x v="3"/>
    <s v="no"/>
    <s v="northeast"/>
    <n v="9095.0682500000003"/>
  </r>
  <r>
    <n v="57"/>
    <s v="female"/>
    <n v="31.824999999999999"/>
    <x v="0"/>
    <s v="no"/>
    <s v="northwest"/>
    <n v="11842.623750000001"/>
  </r>
  <r>
    <n v="47"/>
    <s v="male"/>
    <n v="32.299999999999997"/>
    <x v="1"/>
    <s v="no"/>
    <s v="southwest"/>
    <n v="8062.7640000000001"/>
  </r>
  <r>
    <n v="42"/>
    <s v="female"/>
    <n v="29"/>
    <x v="1"/>
    <s v="no"/>
    <s v="southwest"/>
    <n v="7050.6419999999998"/>
  </r>
  <r>
    <n v="64"/>
    <s v="female"/>
    <n v="39.700000000000003"/>
    <x v="0"/>
    <s v="no"/>
    <s v="southwest"/>
    <n v="14319.031000000001"/>
  </r>
  <r>
    <n v="38"/>
    <s v="female"/>
    <n v="19.475000000000001"/>
    <x v="3"/>
    <s v="no"/>
    <s v="northwest"/>
    <n v="6933.2422500000002"/>
  </r>
  <r>
    <n v="61"/>
    <s v="male"/>
    <n v="36.1"/>
    <x v="2"/>
    <s v="no"/>
    <s v="southwest"/>
    <n v="27941.28758"/>
  </r>
  <r>
    <n v="53"/>
    <s v="female"/>
    <n v="26.7"/>
    <x v="3"/>
    <s v="no"/>
    <s v="southwest"/>
    <n v="11150.78"/>
  </r>
  <r>
    <n v="44"/>
    <s v="female"/>
    <n v="36.479999999999997"/>
    <x v="0"/>
    <s v="no"/>
    <s v="northeast"/>
    <n v="12797.20962"/>
  </r>
  <r>
    <n v="19"/>
    <s v="female"/>
    <n v="28.88"/>
    <x v="0"/>
    <s v="yes"/>
    <s v="northwest"/>
    <n v="17748.5062"/>
  </r>
  <r>
    <n v="41"/>
    <s v="male"/>
    <n v="34.200000000000003"/>
    <x v="3"/>
    <s v="no"/>
    <s v="northwest"/>
    <n v="7261.741"/>
  </r>
  <r>
    <n v="51"/>
    <s v="male"/>
    <n v="33.33"/>
    <x v="2"/>
    <s v="no"/>
    <s v="southeast"/>
    <n v="10560.4917"/>
  </r>
  <r>
    <n v="40"/>
    <s v="male"/>
    <n v="32.299999999999997"/>
    <x v="3"/>
    <s v="no"/>
    <s v="northwest"/>
    <n v="6986.6970000000001"/>
  </r>
  <r>
    <n v="45"/>
    <s v="male"/>
    <n v="39.805"/>
    <x v="0"/>
    <s v="no"/>
    <s v="northeast"/>
    <n v="7448.4039499999999"/>
  </r>
  <r>
    <n v="35"/>
    <s v="male"/>
    <n v="34.32"/>
    <x v="2"/>
    <s v="no"/>
    <s v="southeast"/>
    <n v="5934.3797999999997"/>
  </r>
  <r>
    <n v="53"/>
    <s v="male"/>
    <n v="28.88"/>
    <x v="0"/>
    <s v="no"/>
    <s v="northwest"/>
    <n v="9869.8101999999999"/>
  </r>
  <r>
    <n v="30"/>
    <s v="male"/>
    <n v="24.4"/>
    <x v="2"/>
    <s v="yes"/>
    <s v="southwest"/>
    <n v="18259.216"/>
  </r>
  <r>
    <n v="18"/>
    <s v="male"/>
    <n v="41.14"/>
    <x v="0"/>
    <s v="no"/>
    <s v="southeast"/>
    <n v="1146.7965999999999"/>
  </r>
  <r>
    <n v="51"/>
    <s v="male"/>
    <n v="35.97"/>
    <x v="1"/>
    <s v="no"/>
    <s v="southeast"/>
    <n v="9386.1612999999998"/>
  </r>
  <r>
    <n v="50"/>
    <s v="female"/>
    <n v="27.6"/>
    <x v="1"/>
    <s v="yes"/>
    <s v="southwest"/>
    <n v="24520.263999999999"/>
  </r>
  <r>
    <n v="31"/>
    <s v="female"/>
    <n v="29.26"/>
    <x v="1"/>
    <s v="no"/>
    <s v="southeast"/>
    <n v="4350.5144"/>
  </r>
  <r>
    <n v="35"/>
    <s v="female"/>
    <n v="27.7"/>
    <x v="2"/>
    <s v="no"/>
    <s v="southwest"/>
    <n v="6414.1779999999999"/>
  </r>
  <r>
    <n v="60"/>
    <s v="male"/>
    <n v="36.954999999999998"/>
    <x v="0"/>
    <s v="no"/>
    <s v="northeast"/>
    <n v="12741.167450000001"/>
  </r>
  <r>
    <n v="21"/>
    <s v="male"/>
    <n v="36.86"/>
    <x v="0"/>
    <s v="no"/>
    <s v="northwest"/>
    <n v="1917.3184000000001"/>
  </r>
  <r>
    <n v="29"/>
    <s v="male"/>
    <n v="22.515000000000001"/>
    <x v="2"/>
    <s v="no"/>
    <s v="northeast"/>
    <n v="5209.5788499999999"/>
  </r>
  <r>
    <n v="62"/>
    <s v="female"/>
    <n v="29.92"/>
    <x v="0"/>
    <s v="no"/>
    <s v="southeast"/>
    <n v="13457.960800000001"/>
  </r>
  <r>
    <n v="39"/>
    <s v="female"/>
    <n v="41.8"/>
    <x v="0"/>
    <s v="no"/>
    <s v="southeast"/>
    <n v="5662.2250000000004"/>
  </r>
  <r>
    <n v="19"/>
    <s v="male"/>
    <n v="27.6"/>
    <x v="0"/>
    <s v="no"/>
    <s v="southwest"/>
    <n v="1252.4069999999999"/>
  </r>
  <r>
    <n v="22"/>
    <s v="female"/>
    <n v="23.18"/>
    <x v="0"/>
    <s v="no"/>
    <s v="northeast"/>
    <n v="2731.9122000000002"/>
  </r>
  <r>
    <n v="53"/>
    <s v="male"/>
    <n v="20.9"/>
    <x v="0"/>
    <s v="yes"/>
    <s v="southeast"/>
    <n v="21195.817999999999"/>
  </r>
  <r>
    <n v="39"/>
    <s v="female"/>
    <n v="31.92"/>
    <x v="3"/>
    <s v="no"/>
    <s v="northwest"/>
    <n v="7209.4917999999998"/>
  </r>
  <r>
    <n v="27"/>
    <s v="male"/>
    <n v="28.5"/>
    <x v="0"/>
    <s v="yes"/>
    <s v="northwest"/>
    <n v="18310.741999999998"/>
  </r>
  <r>
    <n v="30"/>
    <s v="male"/>
    <n v="44.22"/>
    <x v="3"/>
    <s v="no"/>
    <s v="southeast"/>
    <n v="4266.1657999999998"/>
  </r>
  <r>
    <n v="30"/>
    <s v="female"/>
    <n v="22.895"/>
    <x v="1"/>
    <s v="no"/>
    <s v="northeast"/>
    <n v="4719.52405"/>
  </r>
  <r>
    <n v="58"/>
    <s v="female"/>
    <n v="33.1"/>
    <x v="0"/>
    <s v="no"/>
    <s v="southwest"/>
    <n v="11848.141"/>
  </r>
  <r>
    <n v="33"/>
    <s v="male"/>
    <n v="24.795000000000002"/>
    <x v="0"/>
    <s v="yes"/>
    <s v="northeast"/>
    <n v="17904.527050000001"/>
  </r>
  <r>
    <n v="42"/>
    <s v="female"/>
    <n v="26.18"/>
    <x v="1"/>
    <s v="no"/>
    <s v="southeast"/>
    <n v="7046.7222000000002"/>
  </r>
  <r>
    <n v="64"/>
    <s v="female"/>
    <n v="35.97"/>
    <x v="0"/>
    <s v="no"/>
    <s v="southeast"/>
    <n v="14313.846299999999"/>
  </r>
  <r>
    <n v="21"/>
    <s v="male"/>
    <n v="22.3"/>
    <x v="1"/>
    <s v="no"/>
    <s v="southwest"/>
    <n v="2103.08"/>
  </r>
  <r>
    <n v="18"/>
    <s v="female"/>
    <n v="42.24"/>
    <x v="0"/>
    <s v="yes"/>
    <s v="southeast"/>
    <n v="38792.685599999997"/>
  </r>
  <r>
    <n v="23"/>
    <s v="male"/>
    <n v="26.51"/>
    <x v="0"/>
    <s v="no"/>
    <s v="southeast"/>
    <n v="1815.8759"/>
  </r>
  <r>
    <n v="45"/>
    <s v="female"/>
    <n v="35.814999999999998"/>
    <x v="0"/>
    <s v="no"/>
    <s v="northwest"/>
    <n v="7731.8578500000003"/>
  </r>
  <r>
    <n v="40"/>
    <s v="female"/>
    <n v="41.42"/>
    <x v="1"/>
    <s v="no"/>
    <s v="northwest"/>
    <n v="28476.734990000001"/>
  </r>
  <r>
    <n v="19"/>
    <s v="female"/>
    <n v="36.575000000000003"/>
    <x v="0"/>
    <s v="no"/>
    <s v="northwest"/>
    <n v="2136.8822500000001"/>
  </r>
  <r>
    <n v="18"/>
    <s v="male"/>
    <n v="30.14"/>
    <x v="0"/>
    <s v="no"/>
    <s v="southeast"/>
    <n v="1131.5065999999999"/>
  </r>
  <r>
    <n v="25"/>
    <s v="male"/>
    <n v="25.84"/>
    <x v="1"/>
    <s v="no"/>
    <s v="northeast"/>
    <n v="3309.7926000000002"/>
  </r>
  <r>
    <n v="46"/>
    <s v="female"/>
    <n v="30.8"/>
    <x v="2"/>
    <s v="no"/>
    <s v="southwest"/>
    <n v="9414.92"/>
  </r>
  <r>
    <n v="33"/>
    <s v="female"/>
    <n v="42.94"/>
    <x v="2"/>
    <s v="no"/>
    <s v="northwest"/>
    <n v="6360.9935999999998"/>
  </r>
  <r>
    <n v="54"/>
    <s v="male"/>
    <n v="21.01"/>
    <x v="3"/>
    <s v="no"/>
    <s v="southeast"/>
    <n v="11013.7119"/>
  </r>
  <r>
    <n v="28"/>
    <s v="male"/>
    <n v="22.515000000000001"/>
    <x v="3"/>
    <s v="no"/>
    <s v="northeast"/>
    <n v="4428.8878500000001"/>
  </r>
  <r>
    <n v="36"/>
    <s v="male"/>
    <n v="34.43"/>
    <x v="3"/>
    <s v="no"/>
    <s v="southeast"/>
    <n v="5584.3056999999999"/>
  </r>
  <r>
    <n v="20"/>
    <s v="female"/>
    <n v="31.46"/>
    <x v="0"/>
    <s v="no"/>
    <s v="southeast"/>
    <n v="1877.9294"/>
  </r>
  <r>
    <n v="24"/>
    <s v="female"/>
    <n v="24.225000000000001"/>
    <x v="0"/>
    <s v="no"/>
    <s v="northwest"/>
    <n v="2842.7607499999999"/>
  </r>
  <r>
    <n v="23"/>
    <s v="male"/>
    <n v="37.1"/>
    <x v="2"/>
    <s v="no"/>
    <s v="southwest"/>
    <n v="3597.596"/>
  </r>
  <r>
    <n v="47"/>
    <s v="female"/>
    <n v="26.125"/>
    <x v="1"/>
    <s v="yes"/>
    <s v="northeast"/>
    <n v="23401.30575"/>
  </r>
  <r>
    <n v="33"/>
    <s v="female"/>
    <n v="35.53"/>
    <x v="0"/>
    <s v="yes"/>
    <s v="northwest"/>
    <n v="55135.402090000003"/>
  </r>
  <r>
    <n v="45"/>
    <s v="male"/>
    <n v="33.700000000000003"/>
    <x v="1"/>
    <s v="no"/>
    <s v="southwest"/>
    <n v="7445.9179999999997"/>
  </r>
  <r>
    <n v="26"/>
    <s v="male"/>
    <n v="17.670000000000002"/>
    <x v="0"/>
    <s v="no"/>
    <s v="northwest"/>
    <n v="2680.9493000000002"/>
  </r>
  <r>
    <n v="18"/>
    <s v="female"/>
    <n v="31.13"/>
    <x v="0"/>
    <s v="no"/>
    <s v="southeast"/>
    <n v="1621.8827000000001"/>
  </r>
  <r>
    <n v="44"/>
    <s v="female"/>
    <n v="29.81"/>
    <x v="3"/>
    <s v="no"/>
    <s v="southeast"/>
    <n v="8219.2039000000004"/>
  </r>
  <r>
    <n v="60"/>
    <s v="male"/>
    <n v="24.32"/>
    <x v="0"/>
    <s v="no"/>
    <s v="northwest"/>
    <n v="12523.604799999999"/>
  </r>
  <r>
    <n v="64"/>
    <s v="female"/>
    <n v="31.824999999999999"/>
    <x v="3"/>
    <s v="no"/>
    <s v="northeast"/>
    <n v="16069.08475"/>
  </r>
  <r>
    <n v="56"/>
    <s v="male"/>
    <n v="31.79"/>
    <x v="3"/>
    <s v="yes"/>
    <s v="southeast"/>
    <n v="43813.866099999999"/>
  </r>
  <r>
    <n v="36"/>
    <s v="male"/>
    <n v="28.024999999999999"/>
    <x v="1"/>
    <s v="yes"/>
    <s v="northeast"/>
    <n v="20773.62775"/>
  </r>
  <r>
    <n v="41"/>
    <s v="male"/>
    <n v="30.78"/>
    <x v="2"/>
    <s v="yes"/>
    <s v="northeast"/>
    <n v="39597.407200000001"/>
  </r>
  <r>
    <n v="39"/>
    <s v="male"/>
    <n v="21.85"/>
    <x v="1"/>
    <s v="no"/>
    <s v="northwest"/>
    <n v="6117.4944999999998"/>
  </r>
  <r>
    <n v="63"/>
    <s v="male"/>
    <n v="33.1"/>
    <x v="0"/>
    <s v="no"/>
    <s v="southwest"/>
    <n v="13393.755999999999"/>
  </r>
  <r>
    <n v="36"/>
    <s v="female"/>
    <n v="25.84"/>
    <x v="0"/>
    <s v="no"/>
    <s v="northwest"/>
    <n v="5266.3656000000001"/>
  </r>
  <r>
    <n v="28"/>
    <s v="female"/>
    <n v="23.844999999999999"/>
    <x v="3"/>
    <s v="no"/>
    <s v="northwest"/>
    <n v="4719.7365499999996"/>
  </r>
  <r>
    <n v="58"/>
    <s v="male"/>
    <n v="34.39"/>
    <x v="0"/>
    <s v="no"/>
    <s v="northwest"/>
    <n v="11743.9341"/>
  </r>
  <r>
    <n v="36"/>
    <s v="male"/>
    <n v="33.82"/>
    <x v="1"/>
    <s v="no"/>
    <s v="northwest"/>
    <n v="5377.4578000000001"/>
  </r>
  <r>
    <n v="42"/>
    <s v="male"/>
    <n v="35.97"/>
    <x v="3"/>
    <s v="no"/>
    <s v="southeast"/>
    <n v="7160.3302999999996"/>
  </r>
  <r>
    <n v="36"/>
    <s v="male"/>
    <n v="31.5"/>
    <x v="0"/>
    <s v="no"/>
    <s v="southwest"/>
    <n v="4402.2330000000002"/>
  </r>
  <r>
    <n v="56"/>
    <s v="female"/>
    <n v="28.31"/>
    <x v="0"/>
    <s v="no"/>
    <s v="northeast"/>
    <n v="11657.7189"/>
  </r>
  <r>
    <n v="35"/>
    <s v="female"/>
    <n v="23.465"/>
    <x v="3"/>
    <s v="no"/>
    <s v="northeast"/>
    <n v="6402.2913500000004"/>
  </r>
  <r>
    <n v="59"/>
    <s v="female"/>
    <n v="31.35"/>
    <x v="0"/>
    <s v="no"/>
    <s v="northwest"/>
    <n v="12622.1795"/>
  </r>
  <r>
    <n v="21"/>
    <s v="male"/>
    <n v="31.1"/>
    <x v="0"/>
    <s v="no"/>
    <s v="southwest"/>
    <n v="1526.3119999999999"/>
  </r>
  <r>
    <n v="59"/>
    <s v="male"/>
    <n v="24.7"/>
    <x v="0"/>
    <s v="no"/>
    <s v="northeast"/>
    <n v="12323.936"/>
  </r>
  <r>
    <n v="23"/>
    <s v="female"/>
    <n v="32.78"/>
    <x v="3"/>
    <s v="yes"/>
    <s v="southeast"/>
    <n v="36021.011200000001"/>
  </r>
  <r>
    <n v="57"/>
    <s v="female"/>
    <n v="29.81"/>
    <x v="0"/>
    <s v="yes"/>
    <s v="southeast"/>
    <n v="27533.912899999999"/>
  </r>
  <r>
    <n v="53"/>
    <s v="male"/>
    <n v="30.495000000000001"/>
    <x v="0"/>
    <s v="no"/>
    <s v="northeast"/>
    <n v="10072.055050000001"/>
  </r>
  <r>
    <n v="60"/>
    <s v="female"/>
    <n v="32.450000000000003"/>
    <x v="0"/>
    <s v="yes"/>
    <s v="southeast"/>
    <n v="45008.955499999996"/>
  </r>
  <r>
    <n v="51"/>
    <s v="female"/>
    <n v="34.200000000000003"/>
    <x v="1"/>
    <s v="no"/>
    <s v="southwest"/>
    <n v="9872.7009999999991"/>
  </r>
  <r>
    <n v="23"/>
    <s v="male"/>
    <n v="50.38"/>
    <x v="1"/>
    <s v="no"/>
    <s v="southeast"/>
    <n v="2438.0551999999998"/>
  </r>
  <r>
    <n v="27"/>
    <s v="female"/>
    <n v="24.1"/>
    <x v="0"/>
    <s v="no"/>
    <s v="southwest"/>
    <n v="2974.1260000000002"/>
  </r>
  <r>
    <n v="55"/>
    <s v="male"/>
    <n v="32.774999999999999"/>
    <x v="0"/>
    <s v="no"/>
    <s v="northwest"/>
    <n v="10601.632250000001"/>
  </r>
  <r>
    <n v="37"/>
    <s v="female"/>
    <n v="30.78"/>
    <x v="0"/>
    <s v="yes"/>
    <s v="northeast"/>
    <n v="37270.1512"/>
  </r>
  <r>
    <n v="61"/>
    <s v="male"/>
    <n v="32.299999999999997"/>
    <x v="3"/>
    <s v="no"/>
    <s v="northwest"/>
    <n v="14119.62"/>
  </r>
  <r>
    <n v="46"/>
    <s v="female"/>
    <n v="35.53"/>
    <x v="0"/>
    <s v="yes"/>
    <s v="northeast"/>
    <n v="42111.664700000001"/>
  </r>
  <r>
    <n v="53"/>
    <s v="female"/>
    <n v="23.75"/>
    <x v="3"/>
    <s v="no"/>
    <s v="northeast"/>
    <n v="11729.6795"/>
  </r>
  <r>
    <n v="49"/>
    <s v="female"/>
    <n v="23.844999999999999"/>
    <x v="2"/>
    <s v="yes"/>
    <s v="northeast"/>
    <n v="24106.912550000001"/>
  </r>
  <r>
    <n v="20"/>
    <s v="female"/>
    <n v="29.6"/>
    <x v="0"/>
    <s v="no"/>
    <s v="southwest"/>
    <n v="1875.3440000000001"/>
  </r>
  <r>
    <n v="48"/>
    <s v="female"/>
    <n v="33.11"/>
    <x v="0"/>
    <s v="yes"/>
    <s v="southeast"/>
    <n v="40974.164900000003"/>
  </r>
  <r>
    <n v="25"/>
    <s v="male"/>
    <n v="24.13"/>
    <x v="0"/>
    <s v="yes"/>
    <s v="northwest"/>
    <n v="15817.985699999999"/>
  </r>
  <r>
    <n v="25"/>
    <s v="female"/>
    <n v="32.229999999999997"/>
    <x v="1"/>
    <s v="no"/>
    <s v="southeast"/>
    <n v="18218.161390000001"/>
  </r>
  <r>
    <n v="57"/>
    <s v="male"/>
    <n v="28.1"/>
    <x v="0"/>
    <s v="no"/>
    <s v="southwest"/>
    <n v="10965.446"/>
  </r>
  <r>
    <n v="37"/>
    <s v="female"/>
    <n v="47.6"/>
    <x v="3"/>
    <s v="yes"/>
    <s v="southwest"/>
    <n v="46113.510999999999"/>
  </r>
  <r>
    <n v="38"/>
    <s v="female"/>
    <n v="28"/>
    <x v="2"/>
    <s v="no"/>
    <s v="southwest"/>
    <n v="7151.0919999999996"/>
  </r>
  <r>
    <n v="55"/>
    <s v="female"/>
    <n v="33.534999999999997"/>
    <x v="3"/>
    <s v="no"/>
    <s v="northwest"/>
    <n v="12269.68865"/>
  </r>
  <r>
    <n v="36"/>
    <s v="female"/>
    <n v="19.855"/>
    <x v="0"/>
    <s v="no"/>
    <s v="northeast"/>
    <n v="5458.0464499999998"/>
  </r>
  <r>
    <n v="51"/>
    <s v="male"/>
    <n v="25.4"/>
    <x v="0"/>
    <s v="no"/>
    <s v="southwest"/>
    <n v="8782.4689999999991"/>
  </r>
  <r>
    <n v="40"/>
    <s v="male"/>
    <n v="29.9"/>
    <x v="3"/>
    <s v="no"/>
    <s v="southwest"/>
    <n v="6600.3609999999999"/>
  </r>
  <r>
    <n v="18"/>
    <s v="male"/>
    <n v="37.29"/>
    <x v="0"/>
    <s v="no"/>
    <s v="southeast"/>
    <n v="1141.4450999999999"/>
  </r>
  <r>
    <n v="57"/>
    <s v="male"/>
    <n v="43.7"/>
    <x v="1"/>
    <s v="no"/>
    <s v="southwest"/>
    <n v="11576.13"/>
  </r>
  <r>
    <n v="61"/>
    <s v="male"/>
    <n v="23.655000000000001"/>
    <x v="0"/>
    <s v="no"/>
    <s v="northeast"/>
    <n v="13129.603450000001"/>
  </r>
  <r>
    <n v="25"/>
    <s v="female"/>
    <n v="24.3"/>
    <x v="2"/>
    <s v="no"/>
    <s v="southwest"/>
    <n v="4391.652"/>
  </r>
  <r>
    <n v="50"/>
    <s v="male"/>
    <n v="36.200000000000003"/>
    <x v="0"/>
    <s v="no"/>
    <s v="southwest"/>
    <n v="8457.8179999999993"/>
  </r>
  <r>
    <n v="26"/>
    <s v="female"/>
    <n v="29.48"/>
    <x v="1"/>
    <s v="no"/>
    <s v="southeast"/>
    <n v="3392.3652000000002"/>
  </r>
  <r>
    <n v="42"/>
    <s v="male"/>
    <n v="24.86"/>
    <x v="0"/>
    <s v="no"/>
    <s v="southeast"/>
    <n v="5966.8873999999996"/>
  </r>
  <r>
    <n v="43"/>
    <s v="male"/>
    <n v="30.1"/>
    <x v="1"/>
    <s v="no"/>
    <s v="southwest"/>
    <n v="6849.0259999999998"/>
  </r>
  <r>
    <n v="44"/>
    <s v="male"/>
    <n v="21.85"/>
    <x v="2"/>
    <s v="no"/>
    <s v="northeast"/>
    <n v="8891.1394999999993"/>
  </r>
  <r>
    <n v="23"/>
    <s v="female"/>
    <n v="28.12"/>
    <x v="0"/>
    <s v="no"/>
    <s v="northwest"/>
    <n v="2690.1138000000001"/>
  </r>
  <r>
    <n v="49"/>
    <s v="female"/>
    <n v="27.1"/>
    <x v="1"/>
    <s v="no"/>
    <s v="southwest"/>
    <n v="26140.3603"/>
  </r>
  <r>
    <n v="33"/>
    <s v="male"/>
    <n v="33.44"/>
    <x v="4"/>
    <s v="no"/>
    <s v="southeast"/>
    <n v="6653.7885999999999"/>
  </r>
  <r>
    <n v="41"/>
    <s v="male"/>
    <n v="28.8"/>
    <x v="1"/>
    <s v="no"/>
    <s v="southwest"/>
    <n v="6282.2349999999997"/>
  </r>
  <r>
    <n v="37"/>
    <s v="female"/>
    <n v="29.5"/>
    <x v="3"/>
    <s v="no"/>
    <s v="southwest"/>
    <n v="6311.9520000000002"/>
  </r>
  <r>
    <n v="22"/>
    <s v="male"/>
    <n v="34.799999999999997"/>
    <x v="2"/>
    <s v="no"/>
    <s v="southwest"/>
    <n v="3443.0639999999999"/>
  </r>
  <r>
    <n v="23"/>
    <s v="male"/>
    <n v="27.36"/>
    <x v="1"/>
    <s v="no"/>
    <s v="northwest"/>
    <n v="2789.0574000000001"/>
  </r>
  <r>
    <n v="21"/>
    <s v="female"/>
    <n v="22.135000000000002"/>
    <x v="0"/>
    <s v="no"/>
    <s v="northeast"/>
    <n v="2585.8506499999999"/>
  </r>
  <r>
    <n v="51"/>
    <s v="female"/>
    <n v="37.049999999999997"/>
    <x v="2"/>
    <s v="yes"/>
    <s v="northeast"/>
    <n v="46255.112500000003"/>
  </r>
  <r>
    <n v="25"/>
    <s v="male"/>
    <n v="26.695"/>
    <x v="5"/>
    <s v="no"/>
    <s v="northwest"/>
    <n v="4877.9810500000003"/>
  </r>
  <r>
    <n v="32"/>
    <s v="male"/>
    <n v="28.93"/>
    <x v="1"/>
    <s v="yes"/>
    <s v="southeast"/>
    <n v="19719.6947"/>
  </r>
  <r>
    <n v="57"/>
    <s v="male"/>
    <n v="28.975000000000001"/>
    <x v="0"/>
    <s v="yes"/>
    <s v="northeast"/>
    <n v="27218.437249999999"/>
  </r>
  <r>
    <n v="36"/>
    <s v="female"/>
    <n v="30.02"/>
    <x v="0"/>
    <s v="no"/>
    <s v="northwest"/>
    <n v="5272.1758"/>
  </r>
  <r>
    <n v="22"/>
    <s v="male"/>
    <n v="39.5"/>
    <x v="0"/>
    <s v="no"/>
    <s v="southwest"/>
    <n v="1682.597"/>
  </r>
  <r>
    <n v="57"/>
    <s v="male"/>
    <n v="33.630000000000003"/>
    <x v="1"/>
    <s v="no"/>
    <s v="northwest"/>
    <n v="11945.1327"/>
  </r>
  <r>
    <n v="64"/>
    <s v="female"/>
    <n v="26.885000000000002"/>
    <x v="0"/>
    <s v="yes"/>
    <s v="northwest"/>
    <n v="29330.98315"/>
  </r>
  <r>
    <n v="36"/>
    <s v="female"/>
    <n v="29.04"/>
    <x v="5"/>
    <s v="no"/>
    <s v="southeast"/>
    <n v="7243.8136000000004"/>
  </r>
  <r>
    <n v="54"/>
    <s v="male"/>
    <n v="24.035"/>
    <x v="0"/>
    <s v="no"/>
    <s v="northeast"/>
    <n v="10422.916649999999"/>
  </r>
  <r>
    <n v="47"/>
    <s v="male"/>
    <n v="38.94"/>
    <x v="3"/>
    <s v="yes"/>
    <s v="southeast"/>
    <n v="44202.653599999998"/>
  </r>
  <r>
    <n v="62"/>
    <s v="male"/>
    <n v="32.11"/>
    <x v="0"/>
    <s v="no"/>
    <s v="northeast"/>
    <n v="13555.0049"/>
  </r>
  <r>
    <n v="61"/>
    <s v="female"/>
    <n v="44"/>
    <x v="0"/>
    <s v="no"/>
    <s v="southwest"/>
    <n v="13063.883"/>
  </r>
  <r>
    <n v="43"/>
    <s v="female"/>
    <n v="20.045000000000002"/>
    <x v="3"/>
    <s v="yes"/>
    <s v="northeast"/>
    <n v="19798.054550000001"/>
  </r>
  <r>
    <n v="19"/>
    <s v="male"/>
    <n v="25.555"/>
    <x v="1"/>
    <s v="no"/>
    <s v="northwest"/>
    <n v="2221.5644499999999"/>
  </r>
  <r>
    <n v="18"/>
    <s v="female"/>
    <n v="40.26"/>
    <x v="0"/>
    <s v="no"/>
    <s v="southeast"/>
    <n v="1634.5734"/>
  </r>
  <r>
    <n v="19"/>
    <s v="female"/>
    <n v="22.515000000000001"/>
    <x v="0"/>
    <s v="no"/>
    <s v="northwest"/>
    <n v="2117.3388500000001"/>
  </r>
  <r>
    <n v="49"/>
    <s v="male"/>
    <n v="22.515000000000001"/>
    <x v="0"/>
    <s v="no"/>
    <s v="northeast"/>
    <n v="8688.8588500000005"/>
  </r>
  <r>
    <n v="60"/>
    <s v="male"/>
    <n v="40.92"/>
    <x v="0"/>
    <s v="yes"/>
    <s v="southeast"/>
    <n v="48673.558799999999"/>
  </r>
  <r>
    <n v="26"/>
    <s v="male"/>
    <n v="27.265000000000001"/>
    <x v="2"/>
    <s v="no"/>
    <s v="northeast"/>
    <n v="4661.2863500000003"/>
  </r>
  <r>
    <n v="49"/>
    <s v="male"/>
    <n v="36.85"/>
    <x v="0"/>
    <s v="no"/>
    <s v="southeast"/>
    <n v="8125.7844999999998"/>
  </r>
  <r>
    <n v="60"/>
    <s v="female"/>
    <n v="35.1"/>
    <x v="0"/>
    <s v="no"/>
    <s v="southwest"/>
    <n v="12644.589"/>
  </r>
  <r>
    <n v="26"/>
    <s v="female"/>
    <n v="29.355"/>
    <x v="3"/>
    <s v="no"/>
    <s v="northeast"/>
    <n v="4564.1914500000003"/>
  </r>
  <r>
    <n v="27"/>
    <s v="male"/>
    <n v="32.585000000000001"/>
    <x v="2"/>
    <s v="no"/>
    <s v="northeast"/>
    <n v="4846.9201499999999"/>
  </r>
  <r>
    <n v="44"/>
    <s v="female"/>
    <n v="32.340000000000003"/>
    <x v="1"/>
    <s v="no"/>
    <s v="southeast"/>
    <n v="7633.7205999999996"/>
  </r>
  <r>
    <n v="63"/>
    <s v="male"/>
    <n v="39.799999999999997"/>
    <x v="2"/>
    <s v="no"/>
    <s v="southwest"/>
    <n v="15170.069"/>
  </r>
  <r>
    <n v="32"/>
    <s v="female"/>
    <n v="24.6"/>
    <x v="0"/>
    <s v="yes"/>
    <s v="southwest"/>
    <n v="17496.306"/>
  </r>
  <r>
    <n v="22"/>
    <s v="male"/>
    <n v="28.31"/>
    <x v="1"/>
    <s v="no"/>
    <s v="northwest"/>
    <n v="2639.0428999999999"/>
  </r>
  <r>
    <n v="18"/>
    <s v="male"/>
    <n v="31.73"/>
    <x v="0"/>
    <s v="yes"/>
    <s v="northeast"/>
    <n v="33732.686699999998"/>
  </r>
  <r>
    <n v="59"/>
    <s v="female"/>
    <n v="26.695"/>
    <x v="2"/>
    <s v="no"/>
    <s v="northwest"/>
    <n v="14382.709049999999"/>
  </r>
  <r>
    <n v="44"/>
    <s v="female"/>
    <n v="27.5"/>
    <x v="1"/>
    <s v="no"/>
    <s v="southwest"/>
    <n v="7626.9930000000004"/>
  </r>
  <r>
    <n v="33"/>
    <s v="male"/>
    <n v="24.605"/>
    <x v="3"/>
    <s v="no"/>
    <s v="northwest"/>
    <n v="5257.5079500000002"/>
  </r>
  <r>
    <n v="24"/>
    <s v="female"/>
    <n v="33.99"/>
    <x v="0"/>
    <s v="no"/>
    <s v="southeast"/>
    <n v="2473.3341"/>
  </r>
  <r>
    <n v="43"/>
    <s v="female"/>
    <n v="26.885000000000002"/>
    <x v="0"/>
    <s v="yes"/>
    <s v="northwest"/>
    <n v="21774.32215"/>
  </r>
  <r>
    <n v="45"/>
    <s v="male"/>
    <n v="22.895"/>
    <x v="0"/>
    <s v="yes"/>
    <s v="northeast"/>
    <n v="35069.374519999998"/>
  </r>
  <r>
    <n v="61"/>
    <s v="female"/>
    <n v="28.2"/>
    <x v="0"/>
    <s v="no"/>
    <s v="southwest"/>
    <n v="13041.921"/>
  </r>
  <r>
    <n v="35"/>
    <s v="female"/>
    <n v="34.21"/>
    <x v="1"/>
    <s v="no"/>
    <s v="southeast"/>
    <n v="5245.2268999999997"/>
  </r>
  <r>
    <n v="62"/>
    <s v="female"/>
    <n v="25"/>
    <x v="0"/>
    <s v="no"/>
    <s v="southwest"/>
    <n v="13451.121999999999"/>
  </r>
  <r>
    <n v="62"/>
    <s v="female"/>
    <n v="33.200000000000003"/>
    <x v="0"/>
    <s v="no"/>
    <s v="southwest"/>
    <n v="13462.52"/>
  </r>
  <r>
    <n v="38"/>
    <s v="male"/>
    <n v="31"/>
    <x v="1"/>
    <s v="no"/>
    <s v="southwest"/>
    <n v="5488.2619999999997"/>
  </r>
  <r>
    <n v="34"/>
    <s v="male"/>
    <n v="35.814999999999998"/>
    <x v="0"/>
    <s v="no"/>
    <s v="northwest"/>
    <n v="4320.4108500000002"/>
  </r>
  <r>
    <n v="43"/>
    <s v="male"/>
    <n v="23.2"/>
    <x v="0"/>
    <s v="no"/>
    <s v="southwest"/>
    <n v="6250.4350000000004"/>
  </r>
  <r>
    <n v="50"/>
    <s v="male"/>
    <n v="32.11"/>
    <x v="3"/>
    <s v="no"/>
    <s v="northeast"/>
    <n v="25333.332839999999"/>
  </r>
  <r>
    <n v="19"/>
    <s v="female"/>
    <n v="23.4"/>
    <x v="3"/>
    <s v="no"/>
    <s v="southwest"/>
    <n v="2913.569"/>
  </r>
  <r>
    <n v="57"/>
    <s v="female"/>
    <n v="20.100000000000001"/>
    <x v="1"/>
    <s v="no"/>
    <s v="southwest"/>
    <n v="12032.325999999999"/>
  </r>
  <r>
    <n v="62"/>
    <s v="female"/>
    <n v="39.159999999999997"/>
    <x v="0"/>
    <s v="no"/>
    <s v="southeast"/>
    <n v="13470.804400000001"/>
  </r>
  <r>
    <n v="41"/>
    <s v="male"/>
    <n v="34.21"/>
    <x v="1"/>
    <s v="no"/>
    <s v="southeast"/>
    <n v="6289.7548999999999"/>
  </r>
  <r>
    <n v="26"/>
    <s v="male"/>
    <n v="46.53"/>
    <x v="1"/>
    <s v="no"/>
    <s v="southeast"/>
    <n v="2927.0646999999999"/>
  </r>
  <r>
    <n v="39"/>
    <s v="female"/>
    <n v="32.5"/>
    <x v="1"/>
    <s v="no"/>
    <s v="southwest"/>
    <n v="6238.2979999999998"/>
  </r>
  <r>
    <n v="46"/>
    <s v="male"/>
    <n v="25.8"/>
    <x v="4"/>
    <s v="no"/>
    <s v="southwest"/>
    <n v="10096.969999999999"/>
  </r>
  <r>
    <n v="45"/>
    <s v="female"/>
    <n v="35.299999999999997"/>
    <x v="0"/>
    <s v="no"/>
    <s v="southwest"/>
    <n v="7348.1419999999998"/>
  </r>
  <r>
    <n v="32"/>
    <s v="male"/>
    <n v="37.18"/>
    <x v="3"/>
    <s v="no"/>
    <s v="southeast"/>
    <n v="4673.3922000000002"/>
  </r>
  <r>
    <n v="59"/>
    <s v="female"/>
    <n v="27.5"/>
    <x v="0"/>
    <s v="no"/>
    <s v="southwest"/>
    <n v="12233.828"/>
  </r>
  <r>
    <n v="44"/>
    <s v="male"/>
    <n v="29.734999999999999"/>
    <x v="3"/>
    <s v="no"/>
    <s v="northeast"/>
    <n v="32108.662820000001"/>
  </r>
  <r>
    <n v="39"/>
    <s v="female"/>
    <n v="24.225000000000001"/>
    <x v="4"/>
    <s v="no"/>
    <s v="northwest"/>
    <n v="8965.7957499999993"/>
  </r>
  <r>
    <n v="18"/>
    <s v="male"/>
    <n v="26.18"/>
    <x v="3"/>
    <s v="no"/>
    <s v="southeast"/>
    <n v="2304.0021999999999"/>
  </r>
  <r>
    <n v="53"/>
    <s v="male"/>
    <n v="29.48"/>
    <x v="0"/>
    <s v="no"/>
    <s v="southeast"/>
    <n v="9487.6442000000006"/>
  </r>
  <r>
    <n v="18"/>
    <s v="male"/>
    <n v="23.21"/>
    <x v="0"/>
    <s v="no"/>
    <s v="southeast"/>
    <n v="1121.8739"/>
  </r>
  <r>
    <n v="50"/>
    <s v="female"/>
    <n v="46.09"/>
    <x v="1"/>
    <s v="no"/>
    <s v="southeast"/>
    <n v="9549.5650999999998"/>
  </r>
  <r>
    <n v="18"/>
    <s v="female"/>
    <n v="40.185000000000002"/>
    <x v="0"/>
    <s v="no"/>
    <s v="northeast"/>
    <n v="2217.4691499999999"/>
  </r>
  <r>
    <n v="19"/>
    <s v="male"/>
    <n v="22.61"/>
    <x v="0"/>
    <s v="no"/>
    <s v="northwest"/>
    <n v="1628.4709"/>
  </r>
  <r>
    <n v="62"/>
    <s v="male"/>
    <n v="39.93"/>
    <x v="0"/>
    <s v="no"/>
    <s v="southeast"/>
    <n v="12982.8747"/>
  </r>
  <r>
    <n v="56"/>
    <s v="female"/>
    <n v="35.799999999999997"/>
    <x v="1"/>
    <s v="no"/>
    <s v="southwest"/>
    <n v="11674.13"/>
  </r>
  <r>
    <n v="42"/>
    <s v="male"/>
    <n v="35.799999999999997"/>
    <x v="3"/>
    <s v="no"/>
    <s v="southwest"/>
    <n v="7160.0940000000001"/>
  </r>
  <r>
    <n v="37"/>
    <s v="male"/>
    <n v="34.200000000000003"/>
    <x v="1"/>
    <s v="yes"/>
    <s v="northeast"/>
    <n v="39047.285000000003"/>
  </r>
  <r>
    <n v="42"/>
    <s v="male"/>
    <n v="31.254999999999999"/>
    <x v="0"/>
    <s v="no"/>
    <s v="northwest"/>
    <n v="6358.7764500000003"/>
  </r>
  <r>
    <n v="25"/>
    <s v="male"/>
    <n v="29.7"/>
    <x v="2"/>
    <s v="yes"/>
    <s v="southwest"/>
    <n v="19933.457999999999"/>
  </r>
  <r>
    <n v="57"/>
    <s v="male"/>
    <n v="18.335000000000001"/>
    <x v="0"/>
    <s v="no"/>
    <s v="northeast"/>
    <n v="11534.872649999999"/>
  </r>
  <r>
    <n v="51"/>
    <s v="male"/>
    <n v="42.9"/>
    <x v="3"/>
    <s v="yes"/>
    <s v="southeast"/>
    <n v="47462.894"/>
  </r>
  <r>
    <n v="30"/>
    <s v="female"/>
    <n v="28.405000000000001"/>
    <x v="1"/>
    <s v="no"/>
    <s v="northwest"/>
    <n v="4527.1829500000003"/>
  </r>
  <r>
    <n v="44"/>
    <s v="male"/>
    <n v="30.2"/>
    <x v="3"/>
    <s v="yes"/>
    <s v="southwest"/>
    <n v="38998.546000000002"/>
  </r>
  <r>
    <n v="34"/>
    <s v="male"/>
    <n v="27.835000000000001"/>
    <x v="1"/>
    <s v="yes"/>
    <s v="northwest"/>
    <n v="20009.63365"/>
  </r>
  <r>
    <n v="31"/>
    <s v="male"/>
    <n v="39.49"/>
    <x v="1"/>
    <s v="no"/>
    <s v="southeast"/>
    <n v="3875.7341000000001"/>
  </r>
  <r>
    <n v="54"/>
    <s v="male"/>
    <n v="30.8"/>
    <x v="1"/>
    <s v="yes"/>
    <s v="southeast"/>
    <n v="41999.519999999997"/>
  </r>
  <r>
    <n v="24"/>
    <s v="male"/>
    <n v="26.79"/>
    <x v="1"/>
    <s v="no"/>
    <s v="northwest"/>
    <n v="12609.88702"/>
  </r>
  <r>
    <n v="43"/>
    <s v="male"/>
    <n v="34.96"/>
    <x v="1"/>
    <s v="yes"/>
    <s v="northeast"/>
    <n v="41034.221400000002"/>
  </r>
  <r>
    <n v="48"/>
    <s v="male"/>
    <n v="36.67"/>
    <x v="1"/>
    <s v="no"/>
    <s v="northwest"/>
    <n v="28468.919010000001"/>
  </r>
  <r>
    <n v="19"/>
    <s v="female"/>
    <n v="39.615000000000002"/>
    <x v="1"/>
    <s v="no"/>
    <s v="northwest"/>
    <n v="2730.1078499999999"/>
  </r>
  <r>
    <n v="29"/>
    <s v="female"/>
    <n v="25.9"/>
    <x v="0"/>
    <s v="no"/>
    <s v="southwest"/>
    <n v="3353.2840000000001"/>
  </r>
  <r>
    <n v="63"/>
    <s v="female"/>
    <n v="35.200000000000003"/>
    <x v="1"/>
    <s v="no"/>
    <s v="southeast"/>
    <n v="14474.674999999999"/>
  </r>
  <r>
    <n v="46"/>
    <s v="male"/>
    <n v="24.795000000000002"/>
    <x v="2"/>
    <s v="no"/>
    <s v="northeast"/>
    <n v="9500.5730500000009"/>
  </r>
  <r>
    <n v="52"/>
    <s v="male"/>
    <n v="36.765000000000001"/>
    <x v="3"/>
    <s v="no"/>
    <s v="northwest"/>
    <n v="26467.09737"/>
  </r>
  <r>
    <n v="35"/>
    <s v="male"/>
    <n v="27.1"/>
    <x v="1"/>
    <s v="no"/>
    <s v="southwest"/>
    <n v="4746.3440000000001"/>
  </r>
  <r>
    <n v="51"/>
    <s v="male"/>
    <n v="24.795000000000002"/>
    <x v="3"/>
    <s v="yes"/>
    <s v="northwest"/>
    <n v="23967.38305"/>
  </r>
  <r>
    <n v="44"/>
    <s v="male"/>
    <n v="25.364999999999998"/>
    <x v="1"/>
    <s v="no"/>
    <s v="northwest"/>
    <n v="7518.0253499999999"/>
  </r>
  <r>
    <n v="21"/>
    <s v="male"/>
    <n v="25.745000000000001"/>
    <x v="3"/>
    <s v="no"/>
    <s v="northeast"/>
    <n v="3279.8685500000001"/>
  </r>
  <r>
    <n v="39"/>
    <s v="female"/>
    <n v="34.32"/>
    <x v="4"/>
    <s v="no"/>
    <s v="southeast"/>
    <n v="8596.8277999999991"/>
  </r>
  <r>
    <n v="50"/>
    <s v="female"/>
    <n v="28.16"/>
    <x v="2"/>
    <s v="no"/>
    <s v="southeast"/>
    <n v="10702.642400000001"/>
  </r>
  <r>
    <n v="34"/>
    <s v="female"/>
    <n v="23.56"/>
    <x v="0"/>
    <s v="no"/>
    <s v="northeast"/>
    <n v="4992.3764000000001"/>
  </r>
  <r>
    <n v="22"/>
    <s v="female"/>
    <n v="20.234999999999999"/>
    <x v="0"/>
    <s v="no"/>
    <s v="northwest"/>
    <n v="2527.8186500000002"/>
  </r>
  <r>
    <n v="19"/>
    <s v="female"/>
    <n v="40.5"/>
    <x v="0"/>
    <s v="no"/>
    <s v="southwest"/>
    <n v="1759.338"/>
  </r>
  <r>
    <n v="26"/>
    <s v="male"/>
    <n v="35.42"/>
    <x v="0"/>
    <s v="no"/>
    <s v="southeast"/>
    <n v="2322.6217999999999"/>
  </r>
  <r>
    <n v="29"/>
    <s v="male"/>
    <n v="22.895"/>
    <x v="0"/>
    <s v="yes"/>
    <s v="northeast"/>
    <n v="16138.762049999999"/>
  </r>
  <r>
    <n v="48"/>
    <s v="male"/>
    <n v="40.15"/>
    <x v="0"/>
    <s v="no"/>
    <s v="southeast"/>
    <n v="7804.1605"/>
  </r>
  <r>
    <n v="26"/>
    <s v="male"/>
    <n v="29.15"/>
    <x v="1"/>
    <s v="no"/>
    <s v="southeast"/>
    <n v="2902.9065000000001"/>
  </r>
  <r>
    <n v="45"/>
    <s v="female"/>
    <n v="39.994999999999997"/>
    <x v="2"/>
    <s v="no"/>
    <s v="northeast"/>
    <n v="9704.6680500000002"/>
  </r>
  <r>
    <n v="36"/>
    <s v="female"/>
    <n v="29.92"/>
    <x v="0"/>
    <s v="no"/>
    <s v="southeast"/>
    <n v="4889.0367999999999"/>
  </r>
  <r>
    <n v="54"/>
    <s v="male"/>
    <n v="25.46"/>
    <x v="1"/>
    <s v="no"/>
    <s v="northeast"/>
    <n v="25517.11363"/>
  </r>
  <r>
    <n v="34"/>
    <s v="male"/>
    <n v="21.375"/>
    <x v="0"/>
    <s v="no"/>
    <s v="northeast"/>
    <n v="4500.33925"/>
  </r>
  <r>
    <n v="31"/>
    <s v="male"/>
    <n v="25.9"/>
    <x v="2"/>
    <s v="yes"/>
    <s v="southwest"/>
    <n v="19199.944"/>
  </r>
  <r>
    <n v="27"/>
    <s v="female"/>
    <n v="30.59"/>
    <x v="1"/>
    <s v="no"/>
    <s v="northeast"/>
    <n v="16796.411940000002"/>
  </r>
  <r>
    <n v="20"/>
    <s v="male"/>
    <n v="30.114999999999998"/>
    <x v="4"/>
    <s v="no"/>
    <s v="northeast"/>
    <n v="4915.0598499999996"/>
  </r>
  <r>
    <n v="44"/>
    <s v="female"/>
    <n v="25.8"/>
    <x v="1"/>
    <s v="no"/>
    <s v="southwest"/>
    <n v="7624.63"/>
  </r>
  <r>
    <n v="43"/>
    <s v="male"/>
    <n v="30.114999999999998"/>
    <x v="2"/>
    <s v="no"/>
    <s v="northwest"/>
    <n v="8410.0468500000006"/>
  </r>
  <r>
    <n v="45"/>
    <s v="female"/>
    <n v="27.645"/>
    <x v="1"/>
    <s v="no"/>
    <s v="northwest"/>
    <n v="28340.188849999999"/>
  </r>
  <r>
    <n v="34"/>
    <s v="male"/>
    <n v="34.674999999999997"/>
    <x v="0"/>
    <s v="no"/>
    <s v="northeast"/>
    <n v="4518.8262500000001"/>
  </r>
  <r>
    <n v="24"/>
    <s v="female"/>
    <n v="20.52"/>
    <x v="0"/>
    <s v="yes"/>
    <s v="northeast"/>
    <n v="14571.890799999999"/>
  </r>
  <r>
    <n v="26"/>
    <s v="female"/>
    <n v="19.8"/>
    <x v="1"/>
    <s v="no"/>
    <s v="southwest"/>
    <n v="3378.91"/>
  </r>
  <r>
    <n v="38"/>
    <s v="female"/>
    <n v="27.835000000000001"/>
    <x v="3"/>
    <s v="no"/>
    <s v="northeast"/>
    <n v="7144.86265"/>
  </r>
  <r>
    <n v="50"/>
    <s v="female"/>
    <n v="31.6"/>
    <x v="3"/>
    <s v="no"/>
    <s v="southwest"/>
    <n v="10118.424000000001"/>
  </r>
  <r>
    <n v="38"/>
    <s v="male"/>
    <n v="28.27"/>
    <x v="1"/>
    <s v="no"/>
    <s v="southeast"/>
    <n v="5484.4673000000003"/>
  </r>
  <r>
    <n v="27"/>
    <s v="female"/>
    <n v="20.045000000000002"/>
    <x v="2"/>
    <s v="yes"/>
    <s v="northwest"/>
    <n v="16420.494549999999"/>
  </r>
  <r>
    <n v="39"/>
    <s v="female"/>
    <n v="23.274999999999999"/>
    <x v="2"/>
    <s v="no"/>
    <s v="northeast"/>
    <n v="7986.4752500000004"/>
  </r>
  <r>
    <n v="39"/>
    <s v="female"/>
    <n v="34.1"/>
    <x v="2"/>
    <s v="no"/>
    <s v="southwest"/>
    <n v="7418.5219999999999"/>
  </r>
  <r>
    <n v="63"/>
    <s v="female"/>
    <n v="36.85"/>
    <x v="0"/>
    <s v="no"/>
    <s v="southeast"/>
    <n v="13887.968500000001"/>
  </r>
  <r>
    <n v="33"/>
    <s v="female"/>
    <n v="36.29"/>
    <x v="2"/>
    <s v="no"/>
    <s v="northeast"/>
    <n v="6551.7501000000002"/>
  </r>
  <r>
    <n v="36"/>
    <s v="female"/>
    <n v="26.885000000000002"/>
    <x v="0"/>
    <s v="no"/>
    <s v="northwest"/>
    <n v="5267.8181500000001"/>
  </r>
  <r>
    <n v="30"/>
    <s v="male"/>
    <n v="22.99"/>
    <x v="3"/>
    <s v="yes"/>
    <s v="northwest"/>
    <n v="17361.766100000001"/>
  </r>
  <r>
    <n v="24"/>
    <s v="male"/>
    <n v="32.700000000000003"/>
    <x v="0"/>
    <s v="yes"/>
    <s v="southwest"/>
    <n v="34472.841"/>
  </r>
  <r>
    <n v="24"/>
    <s v="male"/>
    <n v="25.8"/>
    <x v="0"/>
    <s v="no"/>
    <s v="southwest"/>
    <n v="1972.95"/>
  </r>
  <r>
    <n v="48"/>
    <s v="male"/>
    <n v="29.6"/>
    <x v="0"/>
    <s v="no"/>
    <s v="southwest"/>
    <n v="21232.182260000001"/>
  </r>
  <r>
    <n v="47"/>
    <s v="male"/>
    <n v="19.190000000000001"/>
    <x v="1"/>
    <s v="no"/>
    <s v="northeast"/>
    <n v="8627.5411000000004"/>
  </r>
  <r>
    <n v="29"/>
    <s v="male"/>
    <n v="31.73"/>
    <x v="3"/>
    <s v="no"/>
    <s v="northwest"/>
    <n v="4433.3877000000002"/>
  </r>
  <r>
    <n v="28"/>
    <s v="male"/>
    <n v="29.26"/>
    <x v="3"/>
    <s v="no"/>
    <s v="northeast"/>
    <n v="4438.2633999999998"/>
  </r>
  <r>
    <n v="47"/>
    <s v="male"/>
    <n v="28.215"/>
    <x v="2"/>
    <s v="yes"/>
    <s v="northwest"/>
    <n v="24915.220850000002"/>
  </r>
  <r>
    <n v="25"/>
    <s v="male"/>
    <n v="24.984999999999999"/>
    <x v="3"/>
    <s v="no"/>
    <s v="northeast"/>
    <n v="23241.47453"/>
  </r>
  <r>
    <n v="51"/>
    <s v="male"/>
    <n v="27.74"/>
    <x v="1"/>
    <s v="no"/>
    <s v="northeast"/>
    <n v="9957.7216000000008"/>
  </r>
  <r>
    <n v="48"/>
    <s v="female"/>
    <n v="22.8"/>
    <x v="0"/>
    <s v="no"/>
    <s v="southwest"/>
    <n v="8269.0439999999999"/>
  </r>
  <r>
    <n v="43"/>
    <s v="male"/>
    <n v="20.13"/>
    <x v="3"/>
    <s v="yes"/>
    <s v="southeast"/>
    <n v="18767.737700000001"/>
  </r>
  <r>
    <n v="61"/>
    <s v="female"/>
    <n v="33.33"/>
    <x v="5"/>
    <s v="no"/>
    <s v="southeast"/>
    <n v="36580.282160000002"/>
  </r>
  <r>
    <n v="48"/>
    <s v="male"/>
    <n v="32.299999999999997"/>
    <x v="1"/>
    <s v="no"/>
    <s v="northwest"/>
    <n v="8765.2489999999998"/>
  </r>
  <r>
    <n v="38"/>
    <s v="female"/>
    <n v="27.6"/>
    <x v="0"/>
    <s v="no"/>
    <s v="southwest"/>
    <n v="5383.5360000000001"/>
  </r>
  <r>
    <n v="59"/>
    <s v="male"/>
    <n v="25.46"/>
    <x v="0"/>
    <s v="no"/>
    <s v="northwest"/>
    <n v="12124.992399999999"/>
  </r>
  <r>
    <n v="19"/>
    <s v="female"/>
    <n v="24.605"/>
    <x v="1"/>
    <s v="no"/>
    <s v="northwest"/>
    <n v="2709.24395"/>
  </r>
  <r>
    <n v="26"/>
    <s v="female"/>
    <n v="34.200000000000003"/>
    <x v="3"/>
    <s v="no"/>
    <s v="southwest"/>
    <n v="3987.9259999999999"/>
  </r>
  <r>
    <n v="54"/>
    <s v="female"/>
    <n v="35.814999999999998"/>
    <x v="2"/>
    <s v="no"/>
    <s v="northwest"/>
    <n v="12495.290849999999"/>
  </r>
  <r>
    <n v="21"/>
    <s v="female"/>
    <n v="32.68"/>
    <x v="3"/>
    <s v="no"/>
    <s v="northwest"/>
    <n v="26018.950519999999"/>
  </r>
  <r>
    <n v="51"/>
    <s v="male"/>
    <n v="37"/>
    <x v="0"/>
    <s v="no"/>
    <s v="southwest"/>
    <n v="8798.5930000000008"/>
  </r>
  <r>
    <n v="22"/>
    <s v="female"/>
    <n v="31.02"/>
    <x v="2"/>
    <s v="yes"/>
    <s v="southeast"/>
    <n v="35595.589800000002"/>
  </r>
  <r>
    <n v="47"/>
    <s v="male"/>
    <n v="36.08"/>
    <x v="1"/>
    <s v="yes"/>
    <s v="southeast"/>
    <n v="42211.138200000001"/>
  </r>
  <r>
    <n v="18"/>
    <s v="male"/>
    <n v="23.32"/>
    <x v="1"/>
    <s v="no"/>
    <s v="southeast"/>
    <n v="1711.0268000000001"/>
  </r>
  <r>
    <n v="47"/>
    <s v="female"/>
    <n v="45.32"/>
    <x v="1"/>
    <s v="no"/>
    <s v="southeast"/>
    <n v="8569.8618000000006"/>
  </r>
  <r>
    <n v="21"/>
    <s v="female"/>
    <n v="34.6"/>
    <x v="0"/>
    <s v="no"/>
    <s v="southwest"/>
    <n v="2020.1769999999999"/>
  </r>
  <r>
    <n v="19"/>
    <s v="male"/>
    <n v="26.03"/>
    <x v="1"/>
    <s v="yes"/>
    <s v="northwest"/>
    <n v="16450.894700000001"/>
  </r>
  <r>
    <n v="23"/>
    <s v="male"/>
    <n v="18.715"/>
    <x v="0"/>
    <s v="no"/>
    <s v="northwest"/>
    <n v="21595.382290000001"/>
  </r>
  <r>
    <n v="54"/>
    <s v="male"/>
    <n v="31.6"/>
    <x v="0"/>
    <s v="no"/>
    <s v="southwest"/>
    <n v="9850.4320000000007"/>
  </r>
  <r>
    <n v="37"/>
    <s v="female"/>
    <n v="17.29"/>
    <x v="3"/>
    <s v="no"/>
    <s v="northeast"/>
    <n v="6877.9800999999998"/>
  </r>
  <r>
    <n v="46"/>
    <s v="female"/>
    <n v="23.655000000000001"/>
    <x v="1"/>
    <s v="yes"/>
    <s v="northwest"/>
    <n v="21677.283449999999"/>
  </r>
  <r>
    <n v="55"/>
    <s v="female"/>
    <n v="35.200000000000003"/>
    <x v="0"/>
    <s v="yes"/>
    <s v="southeast"/>
    <n v="44423.803"/>
  </r>
  <r>
    <n v="30"/>
    <s v="female"/>
    <n v="27.93"/>
    <x v="0"/>
    <s v="no"/>
    <s v="northeast"/>
    <n v="4137.5227000000004"/>
  </r>
  <r>
    <n v="18"/>
    <s v="male"/>
    <n v="21.565000000000001"/>
    <x v="0"/>
    <s v="yes"/>
    <s v="northeast"/>
    <n v="13747.87235"/>
  </r>
  <r>
    <n v="61"/>
    <s v="male"/>
    <n v="38.380000000000003"/>
    <x v="0"/>
    <s v="no"/>
    <s v="northwest"/>
    <n v="12950.0712"/>
  </r>
  <r>
    <n v="54"/>
    <s v="female"/>
    <n v="23"/>
    <x v="2"/>
    <s v="no"/>
    <s v="southwest"/>
    <n v="12094.477999999999"/>
  </r>
  <r>
    <n v="22"/>
    <s v="male"/>
    <n v="37.07"/>
    <x v="3"/>
    <s v="yes"/>
    <s v="southeast"/>
    <n v="37484.4493"/>
  </r>
  <r>
    <n v="45"/>
    <s v="female"/>
    <n v="30.495000000000001"/>
    <x v="1"/>
    <s v="yes"/>
    <s v="northwest"/>
    <n v="39725.518049999999"/>
  </r>
  <r>
    <n v="22"/>
    <s v="male"/>
    <n v="28.88"/>
    <x v="0"/>
    <s v="no"/>
    <s v="northeast"/>
    <n v="2250.8352"/>
  </r>
  <r>
    <n v="19"/>
    <s v="male"/>
    <n v="27.265000000000001"/>
    <x v="3"/>
    <s v="no"/>
    <s v="northwest"/>
    <n v="22493.659640000002"/>
  </r>
  <r>
    <n v="35"/>
    <s v="female"/>
    <n v="28.024999999999999"/>
    <x v="0"/>
    <s v="yes"/>
    <s v="northwest"/>
    <n v="20234.854749999999"/>
  </r>
  <r>
    <n v="18"/>
    <s v="male"/>
    <n v="23.085000000000001"/>
    <x v="0"/>
    <s v="no"/>
    <s v="northeast"/>
    <n v="1704.7001499999999"/>
  </r>
  <r>
    <n v="20"/>
    <s v="male"/>
    <n v="30.684999999999999"/>
    <x v="0"/>
    <s v="yes"/>
    <s v="northeast"/>
    <n v="33475.817150000003"/>
  </r>
  <r>
    <n v="28"/>
    <s v="female"/>
    <n v="25.8"/>
    <x v="0"/>
    <s v="no"/>
    <s v="southwest"/>
    <n v="3161.4540000000002"/>
  </r>
  <r>
    <n v="55"/>
    <s v="male"/>
    <n v="35.244999999999997"/>
    <x v="1"/>
    <s v="no"/>
    <s v="northeast"/>
    <n v="11394.065549999999"/>
  </r>
  <r>
    <n v="43"/>
    <s v="female"/>
    <n v="24.7"/>
    <x v="3"/>
    <s v="yes"/>
    <s v="northwest"/>
    <n v="21880.82"/>
  </r>
  <r>
    <n v="43"/>
    <s v="female"/>
    <n v="25.08"/>
    <x v="0"/>
    <s v="no"/>
    <s v="northeast"/>
    <n v="7325.0482000000002"/>
  </r>
  <r>
    <n v="22"/>
    <s v="male"/>
    <n v="52.58"/>
    <x v="1"/>
    <s v="yes"/>
    <s v="southeast"/>
    <n v="44501.398200000003"/>
  </r>
  <r>
    <n v="25"/>
    <s v="female"/>
    <n v="22.515000000000001"/>
    <x v="1"/>
    <s v="no"/>
    <s v="northwest"/>
    <n v="3594.17085"/>
  </r>
  <r>
    <n v="49"/>
    <s v="male"/>
    <n v="30.9"/>
    <x v="0"/>
    <s v="yes"/>
    <s v="southwest"/>
    <n v="39727.614000000001"/>
  </r>
  <r>
    <n v="44"/>
    <s v="female"/>
    <n v="36.954999999999998"/>
    <x v="1"/>
    <s v="no"/>
    <s v="northwest"/>
    <n v="8023.1354499999998"/>
  </r>
  <r>
    <n v="64"/>
    <s v="male"/>
    <n v="26.41"/>
    <x v="0"/>
    <s v="no"/>
    <s v="northeast"/>
    <n v="14394.5579"/>
  </r>
  <r>
    <n v="49"/>
    <s v="male"/>
    <n v="29.83"/>
    <x v="1"/>
    <s v="no"/>
    <s v="northeast"/>
    <n v="9288.0267000000003"/>
  </r>
  <r>
    <n v="47"/>
    <s v="male"/>
    <n v="29.8"/>
    <x v="2"/>
    <s v="yes"/>
    <s v="southwest"/>
    <n v="25309.489000000001"/>
  </r>
  <r>
    <n v="27"/>
    <s v="female"/>
    <n v="21.47"/>
    <x v="0"/>
    <s v="no"/>
    <s v="northwest"/>
    <n v="3353.4703"/>
  </r>
  <r>
    <n v="55"/>
    <s v="male"/>
    <n v="27.645"/>
    <x v="0"/>
    <s v="no"/>
    <s v="northwest"/>
    <n v="10594.501550000001"/>
  </r>
  <r>
    <n v="48"/>
    <s v="female"/>
    <n v="28.9"/>
    <x v="0"/>
    <s v="no"/>
    <s v="southwest"/>
    <n v="8277.5229999999992"/>
  </r>
  <r>
    <n v="45"/>
    <s v="female"/>
    <n v="31.79"/>
    <x v="0"/>
    <s v="no"/>
    <s v="southeast"/>
    <n v="17929.303370000001"/>
  </r>
  <r>
    <n v="24"/>
    <s v="female"/>
    <n v="39.49"/>
    <x v="0"/>
    <s v="no"/>
    <s v="southeast"/>
    <n v="2480.9791"/>
  </r>
  <r>
    <n v="32"/>
    <s v="male"/>
    <n v="33.82"/>
    <x v="1"/>
    <s v="no"/>
    <s v="northwest"/>
    <n v="4462.7218000000003"/>
  </r>
  <r>
    <n v="24"/>
    <s v="male"/>
    <n v="32.01"/>
    <x v="0"/>
    <s v="no"/>
    <s v="southeast"/>
    <n v="1981.5818999999999"/>
  </r>
  <r>
    <n v="57"/>
    <s v="male"/>
    <n v="27.94"/>
    <x v="1"/>
    <s v="no"/>
    <s v="southeast"/>
    <n v="11554.223599999999"/>
  </r>
  <r>
    <n v="59"/>
    <s v="male"/>
    <n v="41.14"/>
    <x v="1"/>
    <s v="yes"/>
    <s v="southeast"/>
    <n v="48970.247600000002"/>
  </r>
  <r>
    <n v="36"/>
    <s v="male"/>
    <n v="28.594999999999999"/>
    <x v="2"/>
    <s v="no"/>
    <s v="northwest"/>
    <n v="6548.1950500000003"/>
  </r>
  <r>
    <n v="29"/>
    <s v="female"/>
    <n v="25.6"/>
    <x v="5"/>
    <s v="no"/>
    <s v="southwest"/>
    <n v="5708.8670000000002"/>
  </r>
  <r>
    <n v="42"/>
    <s v="female"/>
    <n v="25.3"/>
    <x v="1"/>
    <s v="no"/>
    <s v="southwest"/>
    <n v="7045.4989999999998"/>
  </r>
  <r>
    <n v="48"/>
    <s v="male"/>
    <n v="37.29"/>
    <x v="3"/>
    <s v="no"/>
    <s v="southeast"/>
    <n v="8978.1851000000006"/>
  </r>
  <r>
    <n v="39"/>
    <s v="male"/>
    <n v="42.655000000000001"/>
    <x v="0"/>
    <s v="no"/>
    <s v="northeast"/>
    <n v="5757.41345"/>
  </r>
  <r>
    <n v="63"/>
    <s v="male"/>
    <n v="21.66"/>
    <x v="1"/>
    <s v="no"/>
    <s v="northwest"/>
    <n v="14349.8544"/>
  </r>
  <r>
    <n v="54"/>
    <s v="female"/>
    <n v="31.9"/>
    <x v="1"/>
    <s v="no"/>
    <s v="southeast"/>
    <n v="10928.849"/>
  </r>
  <r>
    <n v="37"/>
    <s v="male"/>
    <n v="37.07"/>
    <x v="1"/>
    <s v="yes"/>
    <s v="southeast"/>
    <n v="39871.704299999998"/>
  </r>
  <r>
    <n v="63"/>
    <s v="male"/>
    <n v="31.445"/>
    <x v="0"/>
    <s v="no"/>
    <s v="northeast"/>
    <n v="13974.455550000001"/>
  </r>
  <r>
    <n v="21"/>
    <s v="male"/>
    <n v="31.254999999999999"/>
    <x v="0"/>
    <s v="no"/>
    <s v="northwest"/>
    <n v="1909.52745"/>
  </r>
  <r>
    <n v="54"/>
    <s v="female"/>
    <n v="28.88"/>
    <x v="3"/>
    <s v="no"/>
    <s v="northeast"/>
    <n v="12096.6512"/>
  </r>
  <r>
    <n v="60"/>
    <s v="female"/>
    <n v="18.335000000000001"/>
    <x v="0"/>
    <s v="no"/>
    <s v="northeast"/>
    <n v="13204.28565"/>
  </r>
  <r>
    <n v="32"/>
    <s v="female"/>
    <n v="29.59"/>
    <x v="1"/>
    <s v="no"/>
    <s v="southeast"/>
    <n v="4562.8420999999998"/>
  </r>
  <r>
    <n v="47"/>
    <s v="female"/>
    <n v="32"/>
    <x v="1"/>
    <s v="no"/>
    <s v="southwest"/>
    <n v="8551.3469999999998"/>
  </r>
  <r>
    <n v="21"/>
    <s v="male"/>
    <n v="26.03"/>
    <x v="0"/>
    <s v="no"/>
    <s v="northeast"/>
    <n v="2102.2647000000002"/>
  </r>
  <r>
    <n v="28"/>
    <s v="male"/>
    <n v="31.68"/>
    <x v="0"/>
    <s v="yes"/>
    <s v="southeast"/>
    <n v="34672.147199999999"/>
  </r>
  <r>
    <n v="63"/>
    <s v="male"/>
    <n v="33.659999999999997"/>
    <x v="2"/>
    <s v="no"/>
    <s v="southeast"/>
    <n v="15161.5344"/>
  </r>
  <r>
    <n v="18"/>
    <s v="male"/>
    <n v="21.78"/>
    <x v="3"/>
    <s v="no"/>
    <s v="southeast"/>
    <n v="11884.048580000001"/>
  </r>
  <r>
    <n v="32"/>
    <s v="male"/>
    <n v="27.835000000000001"/>
    <x v="1"/>
    <s v="no"/>
    <s v="northwest"/>
    <n v="4454.40265"/>
  </r>
  <r>
    <n v="38"/>
    <s v="male"/>
    <n v="19.95"/>
    <x v="1"/>
    <s v="no"/>
    <s v="northwest"/>
    <n v="5855.9025000000001"/>
  </r>
  <r>
    <n v="32"/>
    <s v="male"/>
    <n v="31.5"/>
    <x v="1"/>
    <s v="no"/>
    <s v="southwest"/>
    <n v="4076.4969999999998"/>
  </r>
  <r>
    <n v="62"/>
    <s v="female"/>
    <n v="30.495000000000001"/>
    <x v="3"/>
    <s v="no"/>
    <s v="northwest"/>
    <n v="15019.760050000001"/>
  </r>
  <r>
    <n v="39"/>
    <s v="female"/>
    <n v="18.3"/>
    <x v="4"/>
    <s v="yes"/>
    <s v="southwest"/>
    <n v="19023.259999999998"/>
  </r>
  <r>
    <n v="55"/>
    <s v="male"/>
    <n v="28.975000000000001"/>
    <x v="0"/>
    <s v="no"/>
    <s v="northeast"/>
    <n v="10796.35025"/>
  </r>
  <r>
    <n v="57"/>
    <s v="male"/>
    <n v="31.54"/>
    <x v="0"/>
    <s v="no"/>
    <s v="northwest"/>
    <n v="11353.2276"/>
  </r>
  <r>
    <n v="52"/>
    <s v="male"/>
    <n v="47.74"/>
    <x v="1"/>
    <s v="no"/>
    <s v="southeast"/>
    <n v="9748.9105999999992"/>
  </r>
  <r>
    <n v="56"/>
    <s v="male"/>
    <n v="22.1"/>
    <x v="0"/>
    <s v="no"/>
    <s v="southwest"/>
    <n v="10577.087"/>
  </r>
  <r>
    <n v="47"/>
    <s v="male"/>
    <n v="36.19"/>
    <x v="0"/>
    <s v="yes"/>
    <s v="southeast"/>
    <n v="41676.081100000003"/>
  </r>
  <r>
    <n v="55"/>
    <s v="female"/>
    <n v="29.83"/>
    <x v="0"/>
    <s v="no"/>
    <s v="northeast"/>
    <n v="11286.538699999999"/>
  </r>
  <r>
    <n v="23"/>
    <s v="male"/>
    <n v="32.700000000000003"/>
    <x v="2"/>
    <s v="no"/>
    <s v="southwest"/>
    <n v="3591.48"/>
  </r>
  <r>
    <n v="22"/>
    <s v="female"/>
    <n v="30.4"/>
    <x v="0"/>
    <s v="yes"/>
    <s v="northwest"/>
    <n v="33907.548000000003"/>
  </r>
  <r>
    <n v="50"/>
    <s v="female"/>
    <n v="33.700000000000003"/>
    <x v="5"/>
    <s v="no"/>
    <s v="southwest"/>
    <n v="11299.343000000001"/>
  </r>
  <r>
    <n v="18"/>
    <s v="female"/>
    <n v="31.35"/>
    <x v="5"/>
    <s v="no"/>
    <s v="northeast"/>
    <n v="4561.1885000000002"/>
  </r>
  <r>
    <n v="51"/>
    <s v="female"/>
    <n v="34.96"/>
    <x v="3"/>
    <s v="yes"/>
    <s v="northeast"/>
    <n v="44641.197399999997"/>
  </r>
  <r>
    <n v="22"/>
    <s v="male"/>
    <n v="33.770000000000003"/>
    <x v="0"/>
    <s v="no"/>
    <s v="southeast"/>
    <n v="1674.6323"/>
  </r>
  <r>
    <n v="52"/>
    <s v="female"/>
    <n v="30.875"/>
    <x v="0"/>
    <s v="no"/>
    <s v="northeast"/>
    <n v="23045.566159999998"/>
  </r>
  <r>
    <n v="25"/>
    <s v="female"/>
    <n v="33.99"/>
    <x v="1"/>
    <s v="no"/>
    <s v="southeast"/>
    <n v="3227.1210999999998"/>
  </r>
  <r>
    <n v="33"/>
    <s v="female"/>
    <n v="19.094999999999999"/>
    <x v="3"/>
    <s v="yes"/>
    <s v="northeast"/>
    <n v="16776.304049999999"/>
  </r>
  <r>
    <n v="53"/>
    <s v="male"/>
    <n v="28.6"/>
    <x v="2"/>
    <s v="no"/>
    <s v="southwest"/>
    <n v="11253.421"/>
  </r>
  <r>
    <n v="29"/>
    <s v="male"/>
    <n v="38.94"/>
    <x v="1"/>
    <s v="no"/>
    <s v="southeast"/>
    <n v="3471.4096"/>
  </r>
  <r>
    <n v="58"/>
    <s v="male"/>
    <n v="36.08"/>
    <x v="0"/>
    <s v="no"/>
    <s v="southeast"/>
    <n v="11363.2832"/>
  </r>
  <r>
    <n v="37"/>
    <s v="male"/>
    <n v="29.8"/>
    <x v="0"/>
    <s v="no"/>
    <s v="southwest"/>
    <n v="20420.604650000001"/>
  </r>
  <r>
    <n v="54"/>
    <s v="female"/>
    <n v="31.24"/>
    <x v="0"/>
    <s v="no"/>
    <s v="southeast"/>
    <n v="10338.9316"/>
  </r>
  <r>
    <n v="49"/>
    <s v="female"/>
    <n v="29.925000000000001"/>
    <x v="0"/>
    <s v="no"/>
    <s v="northwest"/>
    <n v="8988.1587500000005"/>
  </r>
  <r>
    <n v="50"/>
    <s v="female"/>
    <n v="26.22"/>
    <x v="3"/>
    <s v="no"/>
    <s v="northwest"/>
    <n v="10493.9458"/>
  </r>
  <r>
    <n v="26"/>
    <s v="male"/>
    <n v="30"/>
    <x v="1"/>
    <s v="no"/>
    <s v="southwest"/>
    <n v="2904.0880000000002"/>
  </r>
  <r>
    <n v="45"/>
    <s v="male"/>
    <n v="20.350000000000001"/>
    <x v="2"/>
    <s v="no"/>
    <s v="southeast"/>
    <n v="8605.3615000000009"/>
  </r>
  <r>
    <n v="54"/>
    <s v="female"/>
    <n v="32.299999999999997"/>
    <x v="1"/>
    <s v="no"/>
    <s v="northeast"/>
    <n v="11512.405000000001"/>
  </r>
  <r>
    <n v="38"/>
    <s v="male"/>
    <n v="38.39"/>
    <x v="2"/>
    <s v="yes"/>
    <s v="southeast"/>
    <n v="41949.244100000004"/>
  </r>
  <r>
    <n v="48"/>
    <s v="female"/>
    <n v="25.85"/>
    <x v="2"/>
    <s v="yes"/>
    <s v="southeast"/>
    <n v="24180.933499999999"/>
  </r>
  <r>
    <n v="28"/>
    <s v="female"/>
    <n v="26.315000000000001"/>
    <x v="2"/>
    <s v="no"/>
    <s v="northwest"/>
    <n v="5312.1698500000002"/>
  </r>
  <r>
    <n v="23"/>
    <s v="male"/>
    <n v="24.51"/>
    <x v="0"/>
    <s v="no"/>
    <s v="northeast"/>
    <n v="2396.0958999999998"/>
  </r>
  <r>
    <n v="55"/>
    <s v="male"/>
    <n v="32.67"/>
    <x v="1"/>
    <s v="no"/>
    <s v="southeast"/>
    <n v="10807.4863"/>
  </r>
  <r>
    <n v="41"/>
    <s v="male"/>
    <n v="29.64"/>
    <x v="4"/>
    <s v="no"/>
    <s v="northeast"/>
    <n v="9222.4025999999994"/>
  </r>
  <r>
    <n v="25"/>
    <s v="male"/>
    <n v="33.33"/>
    <x v="3"/>
    <s v="yes"/>
    <s v="southeast"/>
    <n v="36124.573700000001"/>
  </r>
  <r>
    <n v="33"/>
    <s v="male"/>
    <n v="35.75"/>
    <x v="1"/>
    <s v="yes"/>
    <s v="southeast"/>
    <n v="38282.749499999998"/>
  </r>
  <r>
    <n v="30"/>
    <s v="female"/>
    <n v="19.95"/>
    <x v="2"/>
    <s v="no"/>
    <s v="northwest"/>
    <n v="5693.4305000000004"/>
  </r>
  <r>
    <n v="23"/>
    <s v="female"/>
    <n v="31.4"/>
    <x v="0"/>
    <s v="yes"/>
    <s v="southwest"/>
    <n v="34166.273000000001"/>
  </r>
  <r>
    <n v="46"/>
    <s v="male"/>
    <n v="38.17"/>
    <x v="3"/>
    <s v="no"/>
    <s v="southeast"/>
    <n v="8347.1643000000004"/>
  </r>
  <r>
    <n v="53"/>
    <s v="female"/>
    <n v="36.86"/>
    <x v="2"/>
    <s v="yes"/>
    <s v="northwest"/>
    <n v="46661.4424"/>
  </r>
  <r>
    <n v="27"/>
    <s v="female"/>
    <n v="32.395000000000003"/>
    <x v="1"/>
    <s v="no"/>
    <s v="northeast"/>
    <n v="18903.491409999999"/>
  </r>
  <r>
    <n v="23"/>
    <s v="female"/>
    <n v="42.75"/>
    <x v="1"/>
    <s v="yes"/>
    <s v="northeast"/>
    <n v="40904.199500000002"/>
  </r>
  <r>
    <n v="63"/>
    <s v="female"/>
    <n v="25.08"/>
    <x v="0"/>
    <s v="no"/>
    <s v="northwest"/>
    <n v="14254.608200000001"/>
  </r>
  <r>
    <n v="55"/>
    <s v="male"/>
    <n v="29.9"/>
    <x v="0"/>
    <s v="no"/>
    <s v="southwest"/>
    <n v="10214.636"/>
  </r>
  <r>
    <n v="35"/>
    <s v="female"/>
    <n v="35.86"/>
    <x v="3"/>
    <s v="no"/>
    <s v="southeast"/>
    <n v="5836.5204000000003"/>
  </r>
  <r>
    <n v="34"/>
    <s v="male"/>
    <n v="32.799999999999997"/>
    <x v="1"/>
    <s v="no"/>
    <s v="southwest"/>
    <n v="14358.364369999999"/>
  </r>
  <r>
    <n v="19"/>
    <s v="female"/>
    <n v="18.600000000000001"/>
    <x v="0"/>
    <s v="no"/>
    <s v="southwest"/>
    <n v="1728.8969999999999"/>
  </r>
  <r>
    <n v="39"/>
    <s v="female"/>
    <n v="23.87"/>
    <x v="4"/>
    <s v="no"/>
    <s v="southeast"/>
    <n v="8582.3022999999994"/>
  </r>
  <r>
    <n v="27"/>
    <s v="male"/>
    <n v="45.9"/>
    <x v="3"/>
    <s v="no"/>
    <s v="southwest"/>
    <n v="3693.4279999999999"/>
  </r>
  <r>
    <n v="57"/>
    <s v="male"/>
    <n v="40.28"/>
    <x v="0"/>
    <s v="no"/>
    <s v="northeast"/>
    <n v="20709.020339999999"/>
  </r>
  <r>
    <n v="52"/>
    <s v="female"/>
    <n v="18.335000000000001"/>
    <x v="0"/>
    <s v="no"/>
    <s v="northwest"/>
    <n v="9991.0376500000002"/>
  </r>
  <r>
    <n v="28"/>
    <s v="male"/>
    <n v="33.82"/>
    <x v="0"/>
    <s v="no"/>
    <s v="northwest"/>
    <n v="19673.335729999999"/>
  </r>
  <r>
    <n v="50"/>
    <s v="female"/>
    <n v="28.12"/>
    <x v="2"/>
    <s v="no"/>
    <s v="northwest"/>
    <n v="11085.586799999999"/>
  </r>
  <r>
    <n v="44"/>
    <s v="female"/>
    <n v="25"/>
    <x v="1"/>
    <s v="no"/>
    <s v="southwest"/>
    <n v="7623.518"/>
  </r>
  <r>
    <n v="26"/>
    <s v="female"/>
    <n v="22.23"/>
    <x v="0"/>
    <s v="no"/>
    <s v="northwest"/>
    <n v="3176.2876999999999"/>
  </r>
  <r>
    <n v="33"/>
    <s v="male"/>
    <n v="30.25"/>
    <x v="0"/>
    <s v="no"/>
    <s v="southeast"/>
    <n v="3704.3544999999999"/>
  </r>
  <r>
    <n v="19"/>
    <s v="female"/>
    <n v="32.49"/>
    <x v="0"/>
    <s v="yes"/>
    <s v="northwest"/>
    <n v="36898.733079999998"/>
  </r>
  <r>
    <n v="50"/>
    <s v="male"/>
    <n v="37.07"/>
    <x v="1"/>
    <s v="no"/>
    <s v="southeast"/>
    <n v="9048.0272999999997"/>
  </r>
  <r>
    <n v="41"/>
    <s v="female"/>
    <n v="32.6"/>
    <x v="2"/>
    <s v="no"/>
    <s v="southwest"/>
    <n v="7954.5169999999998"/>
  </r>
  <r>
    <n v="52"/>
    <s v="female"/>
    <n v="24.86"/>
    <x v="0"/>
    <s v="no"/>
    <s v="southeast"/>
    <n v="27117.993780000001"/>
  </r>
  <r>
    <n v="39"/>
    <s v="male"/>
    <n v="32.340000000000003"/>
    <x v="3"/>
    <s v="no"/>
    <s v="southeast"/>
    <n v="6338.0756000000001"/>
  </r>
  <r>
    <n v="50"/>
    <s v="male"/>
    <n v="32.299999999999997"/>
    <x v="3"/>
    <s v="no"/>
    <s v="southwest"/>
    <n v="9630.3970000000008"/>
  </r>
  <r>
    <n v="52"/>
    <s v="male"/>
    <n v="32.774999999999999"/>
    <x v="2"/>
    <s v="no"/>
    <s v="northwest"/>
    <n v="11289.10925"/>
  </r>
  <r>
    <n v="60"/>
    <s v="male"/>
    <n v="32.799999999999997"/>
    <x v="0"/>
    <s v="yes"/>
    <s v="southwest"/>
    <n v="52590.829389999999"/>
  </r>
  <r>
    <n v="20"/>
    <s v="female"/>
    <n v="31.92"/>
    <x v="0"/>
    <s v="no"/>
    <s v="northwest"/>
    <n v="2261.5688"/>
  </r>
  <r>
    <n v="55"/>
    <s v="male"/>
    <n v="21.5"/>
    <x v="1"/>
    <s v="no"/>
    <s v="southwest"/>
    <n v="10791.96"/>
  </r>
  <r>
    <n v="42"/>
    <s v="male"/>
    <n v="34.1"/>
    <x v="0"/>
    <s v="no"/>
    <s v="southwest"/>
    <n v="5979.7309999999998"/>
  </r>
  <r>
    <n v="18"/>
    <s v="female"/>
    <n v="30.305"/>
    <x v="0"/>
    <s v="no"/>
    <s v="northeast"/>
    <n v="2203.7359499999998"/>
  </r>
  <r>
    <n v="58"/>
    <s v="female"/>
    <n v="36.479999999999997"/>
    <x v="0"/>
    <s v="no"/>
    <s v="northwest"/>
    <n v="12235.8392"/>
  </r>
  <r>
    <n v="43"/>
    <s v="female"/>
    <n v="32.56"/>
    <x v="2"/>
    <s v="yes"/>
    <s v="southeast"/>
    <n v="40941.285400000001"/>
  </r>
  <r>
    <n v="35"/>
    <s v="female"/>
    <n v="35.814999999999998"/>
    <x v="1"/>
    <s v="no"/>
    <s v="northwest"/>
    <n v="5630.4578499999998"/>
  </r>
  <r>
    <n v="48"/>
    <s v="female"/>
    <n v="27.93"/>
    <x v="5"/>
    <s v="no"/>
    <s v="northwest"/>
    <n v="11015.1747"/>
  </r>
  <r>
    <n v="36"/>
    <s v="female"/>
    <n v="22.135000000000002"/>
    <x v="2"/>
    <s v="no"/>
    <s v="northeast"/>
    <n v="7228.2156500000001"/>
  </r>
  <r>
    <n v="19"/>
    <s v="male"/>
    <n v="44.88"/>
    <x v="0"/>
    <s v="yes"/>
    <s v="southeast"/>
    <n v="39722.746200000001"/>
  </r>
  <r>
    <n v="23"/>
    <s v="female"/>
    <n v="23.18"/>
    <x v="3"/>
    <s v="no"/>
    <s v="northwest"/>
    <n v="14426.073850000001"/>
  </r>
  <r>
    <n v="20"/>
    <s v="female"/>
    <n v="30.59"/>
    <x v="0"/>
    <s v="no"/>
    <s v="northeast"/>
    <n v="2459.7201"/>
  </r>
  <r>
    <n v="32"/>
    <s v="female"/>
    <n v="41.1"/>
    <x v="0"/>
    <s v="no"/>
    <s v="southwest"/>
    <n v="3989.8409999999999"/>
  </r>
  <r>
    <n v="43"/>
    <s v="female"/>
    <n v="34.58"/>
    <x v="1"/>
    <s v="no"/>
    <s v="northwest"/>
    <n v="7727.2532000000001"/>
  </r>
  <r>
    <n v="34"/>
    <s v="male"/>
    <n v="42.13"/>
    <x v="3"/>
    <s v="no"/>
    <s v="southeast"/>
    <n v="5124.1886999999997"/>
  </r>
  <r>
    <n v="30"/>
    <s v="male"/>
    <n v="38.83"/>
    <x v="1"/>
    <s v="no"/>
    <s v="southeast"/>
    <n v="18963.171920000001"/>
  </r>
  <r>
    <n v="18"/>
    <s v="female"/>
    <n v="28.215"/>
    <x v="0"/>
    <s v="no"/>
    <s v="northeast"/>
    <n v="2200.8308499999998"/>
  </r>
  <r>
    <n v="41"/>
    <s v="female"/>
    <n v="28.31"/>
    <x v="1"/>
    <s v="no"/>
    <s v="northwest"/>
    <n v="7153.5538999999999"/>
  </r>
  <r>
    <n v="35"/>
    <s v="female"/>
    <n v="26.125"/>
    <x v="0"/>
    <s v="no"/>
    <s v="northeast"/>
    <n v="5227.9887500000004"/>
  </r>
  <r>
    <n v="57"/>
    <s v="male"/>
    <n v="40.369999999999997"/>
    <x v="0"/>
    <s v="no"/>
    <s v="southeast"/>
    <n v="10982.5013"/>
  </r>
  <r>
    <n v="29"/>
    <s v="female"/>
    <n v="24.6"/>
    <x v="3"/>
    <s v="no"/>
    <s v="southwest"/>
    <n v="4529.4769999999999"/>
  </r>
  <r>
    <n v="32"/>
    <s v="male"/>
    <n v="35.200000000000003"/>
    <x v="3"/>
    <s v="no"/>
    <s v="southwest"/>
    <n v="4670.6400000000003"/>
  </r>
  <r>
    <n v="37"/>
    <s v="female"/>
    <n v="34.104999999999997"/>
    <x v="1"/>
    <s v="no"/>
    <s v="northwest"/>
    <n v="6112.3529500000004"/>
  </r>
  <r>
    <n v="18"/>
    <s v="male"/>
    <n v="27.36"/>
    <x v="1"/>
    <s v="yes"/>
    <s v="northeast"/>
    <n v="17178.682400000002"/>
  </r>
  <r>
    <n v="43"/>
    <s v="female"/>
    <n v="26.7"/>
    <x v="3"/>
    <s v="yes"/>
    <s v="southwest"/>
    <n v="22478.6"/>
  </r>
  <r>
    <n v="56"/>
    <s v="female"/>
    <n v="41.91"/>
    <x v="0"/>
    <s v="no"/>
    <s v="southeast"/>
    <n v="11093.6229"/>
  </r>
  <r>
    <n v="38"/>
    <s v="male"/>
    <n v="29.26"/>
    <x v="3"/>
    <s v="no"/>
    <s v="northwest"/>
    <n v="6457.8433999999997"/>
  </r>
  <r>
    <n v="29"/>
    <s v="male"/>
    <n v="32.11"/>
    <x v="3"/>
    <s v="no"/>
    <s v="northwest"/>
    <n v="4433.9159"/>
  </r>
  <r>
    <n v="22"/>
    <s v="female"/>
    <n v="27.1"/>
    <x v="0"/>
    <s v="no"/>
    <s v="southwest"/>
    <n v="2154.3609999999999"/>
  </r>
  <r>
    <n v="52"/>
    <s v="female"/>
    <n v="24.13"/>
    <x v="1"/>
    <s v="yes"/>
    <s v="northwest"/>
    <n v="23887.662700000001"/>
  </r>
  <r>
    <n v="40"/>
    <s v="female"/>
    <n v="27.4"/>
    <x v="1"/>
    <s v="no"/>
    <s v="southwest"/>
    <n v="6496.8860000000004"/>
  </r>
  <r>
    <n v="23"/>
    <s v="female"/>
    <n v="34.865000000000002"/>
    <x v="0"/>
    <s v="no"/>
    <s v="northeast"/>
    <n v="2899.4893499999998"/>
  </r>
  <r>
    <n v="31"/>
    <s v="male"/>
    <n v="29.81"/>
    <x v="0"/>
    <s v="yes"/>
    <s v="southeast"/>
    <n v="19350.368900000001"/>
  </r>
  <r>
    <n v="42"/>
    <s v="female"/>
    <n v="41.325000000000003"/>
    <x v="1"/>
    <s v="no"/>
    <s v="northeast"/>
    <n v="7650.7737500000003"/>
  </r>
  <r>
    <n v="24"/>
    <s v="female"/>
    <n v="29.925000000000001"/>
    <x v="0"/>
    <s v="no"/>
    <s v="northwest"/>
    <n v="2850.6837500000001"/>
  </r>
  <r>
    <n v="25"/>
    <s v="female"/>
    <n v="30.3"/>
    <x v="0"/>
    <s v="no"/>
    <s v="southwest"/>
    <n v="2632.9920000000002"/>
  </r>
  <r>
    <n v="48"/>
    <s v="female"/>
    <n v="27.36"/>
    <x v="1"/>
    <s v="no"/>
    <s v="northeast"/>
    <n v="9447.3824000000004"/>
  </r>
  <r>
    <n v="23"/>
    <s v="female"/>
    <n v="28.49"/>
    <x v="1"/>
    <s v="yes"/>
    <s v="southeast"/>
    <n v="18328.238099999999"/>
  </r>
  <r>
    <n v="45"/>
    <s v="male"/>
    <n v="23.56"/>
    <x v="3"/>
    <s v="no"/>
    <s v="northeast"/>
    <n v="8603.8233999999993"/>
  </r>
  <r>
    <n v="20"/>
    <s v="male"/>
    <n v="35.625"/>
    <x v="2"/>
    <s v="yes"/>
    <s v="northwest"/>
    <n v="37465.34375"/>
  </r>
  <r>
    <n v="62"/>
    <s v="female"/>
    <n v="32.68"/>
    <x v="0"/>
    <s v="no"/>
    <s v="northwest"/>
    <n v="13844.797200000001"/>
  </r>
  <r>
    <n v="43"/>
    <s v="female"/>
    <n v="25.27"/>
    <x v="1"/>
    <s v="yes"/>
    <s v="northeast"/>
    <n v="21771.3423"/>
  </r>
  <r>
    <n v="23"/>
    <s v="female"/>
    <n v="28"/>
    <x v="0"/>
    <s v="no"/>
    <s v="southwest"/>
    <n v="13126.677449999999"/>
  </r>
  <r>
    <n v="31"/>
    <s v="female"/>
    <n v="32.774999999999999"/>
    <x v="3"/>
    <s v="no"/>
    <s v="northwest"/>
    <n v="5327.4002499999997"/>
  </r>
  <r>
    <n v="41"/>
    <s v="female"/>
    <n v="21.754999999999999"/>
    <x v="1"/>
    <s v="no"/>
    <s v="northeast"/>
    <n v="13725.47184"/>
  </r>
  <r>
    <n v="58"/>
    <s v="female"/>
    <n v="32.395000000000003"/>
    <x v="1"/>
    <s v="no"/>
    <s v="northeast"/>
    <n v="13019.161050000001"/>
  </r>
  <r>
    <n v="48"/>
    <s v="female"/>
    <n v="36.575000000000003"/>
    <x v="0"/>
    <s v="no"/>
    <s v="northwest"/>
    <n v="8671.1912499999999"/>
  </r>
  <r>
    <n v="31"/>
    <s v="female"/>
    <n v="21.754999999999999"/>
    <x v="0"/>
    <s v="no"/>
    <s v="northwest"/>
    <n v="4134.0824499999999"/>
  </r>
  <r>
    <n v="19"/>
    <s v="female"/>
    <n v="27.93"/>
    <x v="2"/>
    <s v="no"/>
    <s v="northwest"/>
    <n v="18838.703659999999"/>
  </r>
  <r>
    <n v="19"/>
    <s v="female"/>
    <n v="30.02"/>
    <x v="0"/>
    <s v="yes"/>
    <s v="northwest"/>
    <n v="33307.550799999997"/>
  </r>
  <r>
    <n v="41"/>
    <s v="male"/>
    <n v="33.549999999999997"/>
    <x v="0"/>
    <s v="no"/>
    <s v="southeast"/>
    <n v="5699.8374999999996"/>
  </r>
  <r>
    <n v="40"/>
    <s v="male"/>
    <n v="29.355"/>
    <x v="1"/>
    <s v="no"/>
    <s v="northwest"/>
    <n v="6393.6034499999996"/>
  </r>
  <r>
    <n v="31"/>
    <s v="female"/>
    <n v="25.8"/>
    <x v="3"/>
    <s v="no"/>
    <s v="southwest"/>
    <n v="4934.7049999999999"/>
  </r>
  <r>
    <n v="37"/>
    <s v="male"/>
    <n v="24.32"/>
    <x v="3"/>
    <s v="no"/>
    <s v="northwest"/>
    <n v="6198.7518"/>
  </r>
  <r>
    <n v="46"/>
    <s v="male"/>
    <n v="40.375"/>
    <x v="3"/>
    <s v="no"/>
    <s v="northwest"/>
    <n v="8733.2292500000003"/>
  </r>
  <r>
    <n v="22"/>
    <s v="male"/>
    <n v="32.11"/>
    <x v="0"/>
    <s v="no"/>
    <s v="northwest"/>
    <n v="2055.3249000000001"/>
  </r>
  <r>
    <n v="51"/>
    <s v="male"/>
    <n v="32.299999999999997"/>
    <x v="1"/>
    <s v="no"/>
    <s v="northeast"/>
    <n v="9964.06"/>
  </r>
  <r>
    <n v="18"/>
    <s v="female"/>
    <n v="27.28"/>
    <x v="2"/>
    <s v="yes"/>
    <s v="southeast"/>
    <n v="18223.4512"/>
  </r>
  <r>
    <n v="35"/>
    <s v="male"/>
    <n v="17.86"/>
    <x v="1"/>
    <s v="no"/>
    <s v="northwest"/>
    <n v="5116.5003999999999"/>
  </r>
  <r>
    <n v="59"/>
    <s v="female"/>
    <n v="34.799999999999997"/>
    <x v="3"/>
    <s v="no"/>
    <s v="southwest"/>
    <n v="36910.608030000003"/>
  </r>
  <r>
    <n v="36"/>
    <s v="male"/>
    <n v="33.4"/>
    <x v="3"/>
    <s v="yes"/>
    <s v="southwest"/>
    <n v="38415.474000000002"/>
  </r>
  <r>
    <n v="37"/>
    <s v="female"/>
    <n v="25.555"/>
    <x v="1"/>
    <s v="yes"/>
    <s v="northeast"/>
    <n v="20296.863450000001"/>
  </r>
  <r>
    <n v="59"/>
    <s v="male"/>
    <n v="37.1"/>
    <x v="1"/>
    <s v="no"/>
    <s v="southwest"/>
    <n v="12347.172"/>
  </r>
  <r>
    <n v="36"/>
    <s v="male"/>
    <n v="30.875"/>
    <x v="1"/>
    <s v="no"/>
    <s v="northwest"/>
    <n v="5373.3642499999996"/>
  </r>
  <r>
    <n v="39"/>
    <s v="male"/>
    <n v="34.1"/>
    <x v="3"/>
    <s v="no"/>
    <s v="southeast"/>
    <n v="23563.016179999999"/>
  </r>
  <r>
    <n v="18"/>
    <s v="male"/>
    <n v="21.47"/>
    <x v="0"/>
    <s v="no"/>
    <s v="northeast"/>
    <n v="1702.4553000000001"/>
  </r>
  <r>
    <n v="52"/>
    <s v="female"/>
    <n v="33.299999999999997"/>
    <x v="3"/>
    <s v="no"/>
    <s v="southwest"/>
    <n v="10806.839"/>
  </r>
  <r>
    <n v="27"/>
    <s v="female"/>
    <n v="31.254999999999999"/>
    <x v="1"/>
    <s v="no"/>
    <s v="northwest"/>
    <n v="3956.0714499999999"/>
  </r>
  <r>
    <n v="18"/>
    <s v="male"/>
    <n v="39.14"/>
    <x v="0"/>
    <s v="no"/>
    <s v="northeast"/>
    <n v="12890.057650000001"/>
  </r>
  <r>
    <n v="40"/>
    <s v="male"/>
    <n v="25.08"/>
    <x v="0"/>
    <s v="no"/>
    <s v="southeast"/>
    <n v="5415.6611999999996"/>
  </r>
  <r>
    <n v="29"/>
    <s v="male"/>
    <n v="37.29"/>
    <x v="3"/>
    <s v="no"/>
    <s v="southeast"/>
    <n v="4058.1161000000002"/>
  </r>
  <r>
    <n v="46"/>
    <s v="female"/>
    <n v="34.6"/>
    <x v="1"/>
    <s v="yes"/>
    <s v="southwest"/>
    <n v="41661.601999999999"/>
  </r>
  <r>
    <n v="38"/>
    <s v="female"/>
    <n v="30.21"/>
    <x v="2"/>
    <s v="no"/>
    <s v="northwest"/>
    <n v="7537.1638999999996"/>
  </r>
  <r>
    <n v="30"/>
    <s v="female"/>
    <n v="21.945"/>
    <x v="1"/>
    <s v="no"/>
    <s v="northeast"/>
    <n v="4718.2035500000002"/>
  </r>
  <r>
    <n v="40"/>
    <s v="male"/>
    <n v="24.97"/>
    <x v="3"/>
    <s v="no"/>
    <s v="southeast"/>
    <n v="6593.5083000000004"/>
  </r>
  <r>
    <n v="50"/>
    <s v="male"/>
    <n v="25.3"/>
    <x v="0"/>
    <s v="no"/>
    <s v="southeast"/>
    <n v="8442.6669999999995"/>
  </r>
  <r>
    <n v="20"/>
    <s v="female"/>
    <n v="24.42"/>
    <x v="0"/>
    <s v="yes"/>
    <s v="southeast"/>
    <n v="26125.674770000001"/>
  </r>
  <r>
    <n v="41"/>
    <s v="male"/>
    <n v="23.94"/>
    <x v="1"/>
    <s v="no"/>
    <s v="northeast"/>
    <n v="6858.4795999999997"/>
  </r>
  <r>
    <n v="33"/>
    <s v="female"/>
    <n v="39.82"/>
    <x v="1"/>
    <s v="no"/>
    <s v="southeast"/>
    <n v="4795.6567999999997"/>
  </r>
  <r>
    <n v="38"/>
    <s v="male"/>
    <n v="16.815000000000001"/>
    <x v="3"/>
    <s v="no"/>
    <s v="northeast"/>
    <n v="6640.5448500000002"/>
  </r>
  <r>
    <n v="42"/>
    <s v="male"/>
    <n v="37.18"/>
    <x v="3"/>
    <s v="no"/>
    <s v="southeast"/>
    <n v="7162.0122000000001"/>
  </r>
  <r>
    <n v="56"/>
    <s v="male"/>
    <n v="34.43"/>
    <x v="0"/>
    <s v="no"/>
    <s v="southeast"/>
    <n v="10594.225700000001"/>
  </r>
  <r>
    <n v="58"/>
    <s v="male"/>
    <n v="30.305"/>
    <x v="0"/>
    <s v="no"/>
    <s v="northeast"/>
    <n v="11938.255950000001"/>
  </r>
  <r>
    <n v="52"/>
    <s v="male"/>
    <n v="34.484999999999999"/>
    <x v="2"/>
    <s v="yes"/>
    <s v="northwest"/>
    <n v="60021.398970000002"/>
  </r>
  <r>
    <n v="20"/>
    <s v="female"/>
    <n v="21.8"/>
    <x v="0"/>
    <s v="yes"/>
    <s v="southwest"/>
    <n v="20167.336029999999"/>
  </r>
  <r>
    <n v="54"/>
    <s v="female"/>
    <n v="24.605"/>
    <x v="2"/>
    <s v="no"/>
    <s v="northwest"/>
    <n v="12479.70895"/>
  </r>
  <r>
    <n v="58"/>
    <s v="male"/>
    <n v="23.3"/>
    <x v="0"/>
    <s v="no"/>
    <s v="southwest"/>
    <n v="11345.519"/>
  </r>
  <r>
    <n v="45"/>
    <s v="female"/>
    <n v="27.83"/>
    <x v="3"/>
    <s v="no"/>
    <s v="southeast"/>
    <n v="8515.7587000000003"/>
  </r>
  <r>
    <n v="26"/>
    <s v="male"/>
    <n v="31.065000000000001"/>
    <x v="0"/>
    <s v="no"/>
    <s v="northwest"/>
    <n v="2699.56835"/>
  </r>
  <r>
    <n v="63"/>
    <s v="female"/>
    <n v="21.66"/>
    <x v="0"/>
    <s v="no"/>
    <s v="northeast"/>
    <n v="14449.8544"/>
  </r>
  <r>
    <n v="58"/>
    <s v="female"/>
    <n v="28.215"/>
    <x v="0"/>
    <s v="no"/>
    <s v="northwest"/>
    <n v="12224.350850000001"/>
  </r>
  <r>
    <n v="37"/>
    <s v="male"/>
    <n v="22.704999999999998"/>
    <x v="2"/>
    <s v="no"/>
    <s v="northeast"/>
    <n v="6985.50695"/>
  </r>
  <r>
    <n v="25"/>
    <s v="female"/>
    <n v="42.13"/>
    <x v="1"/>
    <s v="no"/>
    <s v="southeast"/>
    <n v="3238.4357"/>
  </r>
  <r>
    <n v="52"/>
    <s v="male"/>
    <n v="41.8"/>
    <x v="3"/>
    <s v="yes"/>
    <s v="southeast"/>
    <n v="47269.853999999999"/>
  </r>
  <r>
    <n v="64"/>
    <s v="male"/>
    <n v="36.96"/>
    <x v="3"/>
    <s v="yes"/>
    <s v="southeast"/>
    <n v="49577.662400000001"/>
  </r>
  <r>
    <n v="22"/>
    <s v="female"/>
    <n v="21.28"/>
    <x v="2"/>
    <s v="no"/>
    <s v="northwest"/>
    <n v="4296.2712000000001"/>
  </r>
  <r>
    <n v="28"/>
    <s v="female"/>
    <n v="33.11"/>
    <x v="0"/>
    <s v="no"/>
    <s v="southeast"/>
    <n v="3171.6149"/>
  </r>
  <r>
    <n v="18"/>
    <s v="male"/>
    <n v="33.33"/>
    <x v="0"/>
    <s v="no"/>
    <s v="southeast"/>
    <n v="1135.9407000000001"/>
  </r>
  <r>
    <n v="28"/>
    <s v="male"/>
    <n v="24.3"/>
    <x v="4"/>
    <s v="no"/>
    <s v="southwest"/>
    <n v="5615.3689999999997"/>
  </r>
  <r>
    <n v="45"/>
    <s v="female"/>
    <n v="25.7"/>
    <x v="2"/>
    <s v="no"/>
    <s v="southwest"/>
    <n v="9101.7980000000007"/>
  </r>
  <r>
    <n v="33"/>
    <s v="male"/>
    <n v="29.4"/>
    <x v="5"/>
    <s v="no"/>
    <s v="southwest"/>
    <n v="6059.1729999999998"/>
  </r>
  <r>
    <n v="18"/>
    <s v="female"/>
    <n v="39.82"/>
    <x v="0"/>
    <s v="no"/>
    <s v="southeast"/>
    <n v="1633.9618"/>
  </r>
  <r>
    <n v="32"/>
    <s v="male"/>
    <n v="33.630000000000003"/>
    <x v="1"/>
    <s v="yes"/>
    <s v="northeast"/>
    <n v="37607.527699999999"/>
  </r>
  <r>
    <n v="24"/>
    <s v="male"/>
    <n v="29.83"/>
    <x v="0"/>
    <s v="yes"/>
    <s v="northeast"/>
    <n v="18648.421699999999"/>
  </r>
  <r>
    <n v="19"/>
    <s v="male"/>
    <n v="19.8"/>
    <x v="0"/>
    <s v="no"/>
    <s v="southwest"/>
    <n v="1241.5650000000001"/>
  </r>
  <r>
    <n v="20"/>
    <s v="male"/>
    <n v="27.3"/>
    <x v="0"/>
    <s v="yes"/>
    <s v="southwest"/>
    <n v="16232.847"/>
  </r>
  <r>
    <n v="40"/>
    <s v="female"/>
    <n v="29.3"/>
    <x v="5"/>
    <s v="no"/>
    <s v="southwest"/>
    <n v="15828.82173"/>
  </r>
  <r>
    <n v="34"/>
    <s v="female"/>
    <n v="27.72"/>
    <x v="0"/>
    <s v="no"/>
    <s v="southeast"/>
    <n v="4415.1588000000002"/>
  </r>
  <r>
    <n v="42"/>
    <s v="female"/>
    <n v="37.9"/>
    <x v="0"/>
    <s v="no"/>
    <s v="southwest"/>
    <n v="6474.0129999999999"/>
  </r>
  <r>
    <n v="51"/>
    <s v="female"/>
    <n v="36.384999999999998"/>
    <x v="2"/>
    <s v="no"/>
    <s v="northwest"/>
    <n v="11436.738149999999"/>
  </r>
  <r>
    <n v="54"/>
    <s v="female"/>
    <n v="27.645"/>
    <x v="1"/>
    <s v="no"/>
    <s v="northwest"/>
    <n v="11305.93455"/>
  </r>
  <r>
    <n v="55"/>
    <s v="male"/>
    <n v="37.715000000000003"/>
    <x v="2"/>
    <s v="no"/>
    <s v="northwest"/>
    <n v="30063.580549999999"/>
  </r>
  <r>
    <n v="52"/>
    <s v="female"/>
    <n v="23.18"/>
    <x v="0"/>
    <s v="no"/>
    <s v="northeast"/>
    <n v="10197.772199999999"/>
  </r>
  <r>
    <n v="32"/>
    <s v="female"/>
    <n v="20.52"/>
    <x v="0"/>
    <s v="no"/>
    <s v="northeast"/>
    <n v="4544.2348000000002"/>
  </r>
  <r>
    <n v="28"/>
    <s v="male"/>
    <n v="37.1"/>
    <x v="1"/>
    <s v="no"/>
    <s v="southwest"/>
    <n v="3277.1610000000001"/>
  </r>
  <r>
    <n v="41"/>
    <s v="female"/>
    <n v="28.05"/>
    <x v="1"/>
    <s v="no"/>
    <s v="southeast"/>
    <n v="6770.1925000000001"/>
  </r>
  <r>
    <n v="43"/>
    <s v="female"/>
    <n v="29.9"/>
    <x v="1"/>
    <s v="no"/>
    <s v="southwest"/>
    <n v="7337.7479999999996"/>
  </r>
  <r>
    <n v="49"/>
    <s v="female"/>
    <n v="33.344999999999999"/>
    <x v="3"/>
    <s v="no"/>
    <s v="northeast"/>
    <n v="10370.912549999999"/>
  </r>
  <r>
    <n v="64"/>
    <s v="male"/>
    <n v="23.76"/>
    <x v="0"/>
    <s v="yes"/>
    <s v="southeast"/>
    <n v="26926.5144"/>
  </r>
  <r>
    <n v="55"/>
    <s v="female"/>
    <n v="30.5"/>
    <x v="0"/>
    <s v="no"/>
    <s v="southwest"/>
    <n v="10704.47"/>
  </r>
  <r>
    <n v="24"/>
    <s v="male"/>
    <n v="31.065000000000001"/>
    <x v="0"/>
    <s v="yes"/>
    <s v="northeast"/>
    <n v="34254.053350000002"/>
  </r>
  <r>
    <n v="20"/>
    <s v="female"/>
    <n v="33.299999999999997"/>
    <x v="0"/>
    <s v="no"/>
    <s v="southwest"/>
    <n v="1880.4870000000001"/>
  </r>
  <r>
    <n v="45"/>
    <s v="male"/>
    <n v="27.5"/>
    <x v="2"/>
    <s v="no"/>
    <s v="southwest"/>
    <n v="8615.2999999999993"/>
  </r>
  <r>
    <n v="26"/>
    <s v="male"/>
    <n v="33.914999999999999"/>
    <x v="1"/>
    <s v="no"/>
    <s v="northwest"/>
    <n v="3292.5298499999999"/>
  </r>
  <r>
    <n v="25"/>
    <s v="female"/>
    <n v="34.484999999999999"/>
    <x v="0"/>
    <s v="no"/>
    <s v="northwest"/>
    <n v="3021.80915"/>
  </r>
  <r>
    <n v="43"/>
    <s v="male"/>
    <n v="25.52"/>
    <x v="4"/>
    <s v="no"/>
    <s v="southeast"/>
    <n v="14478.33015"/>
  </r>
  <r>
    <n v="35"/>
    <s v="male"/>
    <n v="27.61"/>
    <x v="1"/>
    <s v="no"/>
    <s v="southeast"/>
    <n v="4747.0528999999997"/>
  </r>
  <r>
    <n v="26"/>
    <s v="male"/>
    <n v="27.06"/>
    <x v="0"/>
    <s v="yes"/>
    <s v="southeast"/>
    <n v="17043.341400000001"/>
  </r>
  <r>
    <n v="57"/>
    <s v="male"/>
    <n v="23.7"/>
    <x v="0"/>
    <s v="no"/>
    <s v="southwest"/>
    <n v="10959.33"/>
  </r>
  <r>
    <n v="22"/>
    <s v="female"/>
    <n v="30.4"/>
    <x v="0"/>
    <s v="no"/>
    <s v="northeast"/>
    <n v="2741.9479999999999"/>
  </r>
  <r>
    <n v="32"/>
    <s v="female"/>
    <n v="29.734999999999999"/>
    <x v="0"/>
    <s v="no"/>
    <s v="northwest"/>
    <n v="4357.0436499999996"/>
  </r>
  <r>
    <n v="39"/>
    <s v="male"/>
    <n v="29.925000000000001"/>
    <x v="1"/>
    <s v="yes"/>
    <s v="northeast"/>
    <n v="22462.043750000001"/>
  </r>
  <r>
    <n v="25"/>
    <s v="female"/>
    <n v="26.79"/>
    <x v="3"/>
    <s v="no"/>
    <s v="northwest"/>
    <n v="4189.1130999999996"/>
  </r>
  <r>
    <n v="48"/>
    <s v="female"/>
    <n v="33.33"/>
    <x v="0"/>
    <s v="no"/>
    <s v="southeast"/>
    <n v="8283.6807000000008"/>
  </r>
  <r>
    <n v="47"/>
    <s v="female"/>
    <n v="27.645"/>
    <x v="3"/>
    <s v="yes"/>
    <s v="northwest"/>
    <n v="24535.698550000001"/>
  </r>
  <r>
    <n v="18"/>
    <s v="female"/>
    <n v="21.66"/>
    <x v="0"/>
    <s v="yes"/>
    <s v="northeast"/>
    <n v="14283.4594"/>
  </r>
  <r>
    <n v="18"/>
    <s v="male"/>
    <n v="30.03"/>
    <x v="1"/>
    <s v="no"/>
    <s v="southeast"/>
    <n v="1720.3536999999999"/>
  </r>
  <r>
    <n v="61"/>
    <s v="male"/>
    <n v="36.299999999999997"/>
    <x v="1"/>
    <s v="yes"/>
    <s v="southwest"/>
    <n v="47403.88"/>
  </r>
  <r>
    <n v="47"/>
    <s v="female"/>
    <n v="24.32"/>
    <x v="0"/>
    <s v="no"/>
    <s v="northeast"/>
    <n v="8534.6718000000001"/>
  </r>
  <r>
    <n v="28"/>
    <s v="female"/>
    <n v="17.29"/>
    <x v="0"/>
    <s v="no"/>
    <s v="northeast"/>
    <n v="3732.6251000000002"/>
  </r>
  <r>
    <n v="36"/>
    <s v="female"/>
    <n v="25.9"/>
    <x v="1"/>
    <s v="no"/>
    <s v="southwest"/>
    <n v="5472.4489999999996"/>
  </r>
  <r>
    <n v="20"/>
    <s v="male"/>
    <n v="39.4"/>
    <x v="3"/>
    <s v="yes"/>
    <s v="southwest"/>
    <n v="38344.565999999999"/>
  </r>
  <r>
    <n v="44"/>
    <s v="male"/>
    <n v="34.32"/>
    <x v="1"/>
    <s v="no"/>
    <s v="southeast"/>
    <n v="7147.4727999999996"/>
  </r>
  <r>
    <n v="38"/>
    <s v="female"/>
    <n v="19.95"/>
    <x v="3"/>
    <s v="no"/>
    <s v="northeast"/>
    <n v="7133.9025000000001"/>
  </r>
  <r>
    <n v="19"/>
    <s v="male"/>
    <n v="34.9"/>
    <x v="0"/>
    <s v="yes"/>
    <s v="southwest"/>
    <n v="34828.654000000002"/>
  </r>
  <r>
    <n v="21"/>
    <s v="male"/>
    <n v="23.21"/>
    <x v="0"/>
    <s v="no"/>
    <s v="southeast"/>
    <n v="1515.3449000000001"/>
  </r>
  <r>
    <n v="46"/>
    <s v="male"/>
    <n v="25.745000000000001"/>
    <x v="2"/>
    <s v="no"/>
    <s v="northwest"/>
    <n v="9301.8935500000007"/>
  </r>
  <r>
    <n v="58"/>
    <s v="male"/>
    <n v="25.175000000000001"/>
    <x v="0"/>
    <s v="no"/>
    <s v="northeast"/>
    <n v="11931.125249999999"/>
  </r>
  <r>
    <n v="20"/>
    <s v="male"/>
    <n v="22"/>
    <x v="1"/>
    <s v="no"/>
    <s v="southwest"/>
    <n v="1964.78"/>
  </r>
  <r>
    <n v="18"/>
    <s v="male"/>
    <n v="26.125"/>
    <x v="0"/>
    <s v="no"/>
    <s v="northeast"/>
    <n v="1708.9257500000001"/>
  </r>
  <r>
    <n v="28"/>
    <s v="female"/>
    <n v="26.51"/>
    <x v="3"/>
    <s v="no"/>
    <s v="southeast"/>
    <n v="4340.4408999999996"/>
  </r>
  <r>
    <n v="33"/>
    <s v="male"/>
    <n v="27.454999999999998"/>
    <x v="3"/>
    <s v="no"/>
    <s v="northwest"/>
    <n v="5261.4694499999996"/>
  </r>
  <r>
    <n v="19"/>
    <s v="female"/>
    <n v="25.745000000000001"/>
    <x v="1"/>
    <s v="no"/>
    <s v="northwest"/>
    <n v="2710.8285500000002"/>
  </r>
  <r>
    <n v="45"/>
    <s v="male"/>
    <n v="30.36"/>
    <x v="0"/>
    <s v="yes"/>
    <s v="southeast"/>
    <n v="62592.873090000001"/>
  </r>
  <r>
    <n v="62"/>
    <s v="male"/>
    <n v="30.875"/>
    <x v="2"/>
    <s v="yes"/>
    <s v="northwest"/>
    <n v="46718.163249999998"/>
  </r>
  <r>
    <n v="25"/>
    <s v="female"/>
    <n v="20.8"/>
    <x v="1"/>
    <s v="no"/>
    <s v="southwest"/>
    <n v="3208.7869999999998"/>
  </r>
  <r>
    <n v="43"/>
    <s v="male"/>
    <n v="27.8"/>
    <x v="0"/>
    <s v="yes"/>
    <s v="southwest"/>
    <n v="37829.724199999997"/>
  </r>
  <r>
    <n v="42"/>
    <s v="male"/>
    <n v="24.605"/>
    <x v="3"/>
    <s v="yes"/>
    <s v="northeast"/>
    <n v="21259.377949999998"/>
  </r>
  <r>
    <n v="24"/>
    <s v="female"/>
    <n v="27.72"/>
    <x v="0"/>
    <s v="no"/>
    <s v="southeast"/>
    <n v="2464.6188000000002"/>
  </r>
  <r>
    <n v="29"/>
    <s v="female"/>
    <n v="21.85"/>
    <x v="0"/>
    <s v="yes"/>
    <s v="northeast"/>
    <n v="16115.3045"/>
  </r>
  <r>
    <n v="32"/>
    <s v="male"/>
    <n v="28.12"/>
    <x v="5"/>
    <s v="yes"/>
    <s v="northwest"/>
    <n v="21472.478800000001"/>
  </r>
  <r>
    <n v="25"/>
    <s v="female"/>
    <n v="30.2"/>
    <x v="0"/>
    <s v="yes"/>
    <s v="southwest"/>
    <n v="33900.652999999998"/>
  </r>
  <r>
    <n v="41"/>
    <s v="male"/>
    <n v="32.200000000000003"/>
    <x v="3"/>
    <s v="no"/>
    <s v="southwest"/>
    <n v="6875.9610000000002"/>
  </r>
  <r>
    <n v="42"/>
    <s v="male"/>
    <n v="26.315000000000001"/>
    <x v="1"/>
    <s v="no"/>
    <s v="northwest"/>
    <n v="6940.90985"/>
  </r>
  <r>
    <n v="33"/>
    <s v="female"/>
    <n v="26.695"/>
    <x v="0"/>
    <s v="no"/>
    <s v="northwest"/>
    <n v="4571.4130500000001"/>
  </r>
  <r>
    <n v="34"/>
    <s v="male"/>
    <n v="42.9"/>
    <x v="1"/>
    <s v="no"/>
    <s v="southwest"/>
    <n v="4536.259"/>
  </r>
  <r>
    <n v="19"/>
    <s v="female"/>
    <n v="34.700000000000003"/>
    <x v="3"/>
    <s v="yes"/>
    <s v="southwest"/>
    <n v="36397.576000000001"/>
  </r>
  <r>
    <n v="30"/>
    <s v="female"/>
    <n v="23.655000000000001"/>
    <x v="2"/>
    <s v="yes"/>
    <s v="northwest"/>
    <n v="18765.87545"/>
  </r>
  <r>
    <n v="18"/>
    <s v="male"/>
    <n v="28.31"/>
    <x v="1"/>
    <s v="no"/>
    <s v="northeast"/>
    <n v="11272.331389999999"/>
  </r>
  <r>
    <n v="19"/>
    <s v="female"/>
    <n v="20.6"/>
    <x v="0"/>
    <s v="no"/>
    <s v="southwest"/>
    <n v="1731.6769999999999"/>
  </r>
  <r>
    <n v="18"/>
    <s v="male"/>
    <n v="53.13"/>
    <x v="0"/>
    <s v="no"/>
    <s v="southeast"/>
    <n v="1163.4627"/>
  </r>
  <r>
    <n v="35"/>
    <s v="male"/>
    <n v="39.71"/>
    <x v="5"/>
    <s v="no"/>
    <s v="northeast"/>
    <n v="19496.71917"/>
  </r>
  <r>
    <n v="39"/>
    <s v="female"/>
    <n v="26.315000000000001"/>
    <x v="3"/>
    <s v="no"/>
    <s v="northwest"/>
    <n v="7201.7008500000002"/>
  </r>
  <r>
    <n v="31"/>
    <s v="male"/>
    <n v="31.065000000000001"/>
    <x v="2"/>
    <s v="no"/>
    <s v="northwest"/>
    <n v="5425.0233500000004"/>
  </r>
  <r>
    <n v="62"/>
    <s v="male"/>
    <n v="26.695"/>
    <x v="0"/>
    <s v="yes"/>
    <s v="northeast"/>
    <n v="28101.333050000001"/>
  </r>
  <r>
    <n v="62"/>
    <s v="male"/>
    <n v="38.83"/>
    <x v="0"/>
    <s v="no"/>
    <s v="southeast"/>
    <n v="12981.3457"/>
  </r>
  <r>
    <n v="42"/>
    <s v="female"/>
    <n v="40.369999999999997"/>
    <x v="3"/>
    <s v="yes"/>
    <s v="southeast"/>
    <n v="43896.376300000004"/>
  </r>
  <r>
    <n v="31"/>
    <s v="male"/>
    <n v="25.934999999999999"/>
    <x v="1"/>
    <s v="no"/>
    <s v="northwest"/>
    <n v="4239.8926499999998"/>
  </r>
  <r>
    <n v="61"/>
    <s v="male"/>
    <n v="33.534999999999997"/>
    <x v="0"/>
    <s v="no"/>
    <s v="northeast"/>
    <n v="13143.336649999999"/>
  </r>
  <r>
    <n v="42"/>
    <s v="female"/>
    <n v="32.869999999999997"/>
    <x v="0"/>
    <s v="no"/>
    <s v="northeast"/>
    <n v="7050.0213000000003"/>
  </r>
  <r>
    <n v="51"/>
    <s v="male"/>
    <n v="30.03"/>
    <x v="1"/>
    <s v="no"/>
    <s v="southeast"/>
    <n v="9377.9046999999991"/>
  </r>
  <r>
    <n v="23"/>
    <s v="female"/>
    <n v="24.225000000000001"/>
    <x v="3"/>
    <s v="no"/>
    <s v="northeast"/>
    <n v="22395.74424"/>
  </r>
  <r>
    <n v="52"/>
    <s v="male"/>
    <n v="38.6"/>
    <x v="3"/>
    <s v="no"/>
    <s v="southwest"/>
    <n v="10325.206"/>
  </r>
  <r>
    <n v="57"/>
    <s v="female"/>
    <n v="25.74"/>
    <x v="3"/>
    <s v="no"/>
    <s v="southeast"/>
    <n v="12629.1656"/>
  </r>
  <r>
    <n v="23"/>
    <s v="female"/>
    <n v="33.4"/>
    <x v="0"/>
    <s v="no"/>
    <s v="southwest"/>
    <n v="10795.937330000001"/>
  </r>
  <r>
    <n v="52"/>
    <s v="female"/>
    <n v="44.7"/>
    <x v="2"/>
    <s v="no"/>
    <s v="southwest"/>
    <n v="11411.684999999999"/>
  </r>
  <r>
    <n v="50"/>
    <s v="male"/>
    <n v="30.97"/>
    <x v="2"/>
    <s v="no"/>
    <s v="northwest"/>
    <n v="10600.5483"/>
  </r>
  <r>
    <n v="18"/>
    <s v="female"/>
    <n v="31.92"/>
    <x v="0"/>
    <s v="no"/>
    <s v="northeast"/>
    <n v="2205.9807999999998"/>
  </r>
  <r>
    <n v="18"/>
    <s v="female"/>
    <n v="36.85"/>
    <x v="0"/>
    <s v="no"/>
    <s v="southeast"/>
    <n v="1629.8335"/>
  </r>
  <r>
    <n v="21"/>
    <s v="female"/>
    <n v="25.8"/>
    <x v="0"/>
    <s v="no"/>
    <s v="southwest"/>
    <n v="2007.9449999999999"/>
  </r>
  <r>
    <n v="61"/>
    <s v="female"/>
    <n v="29.07"/>
    <x v="0"/>
    <s v="yes"/>
    <s v="northwest"/>
    <n v="29141.360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s v="female"/>
    <n v="27.9"/>
    <n v="0"/>
    <x v="0"/>
    <x v="0"/>
    <n v="16884.923999999999"/>
  </r>
  <r>
    <n v="18"/>
    <s v="male"/>
    <n v="33.770000000000003"/>
    <n v="1"/>
    <x v="1"/>
    <x v="1"/>
    <n v="1725.5523000000001"/>
  </r>
  <r>
    <n v="28"/>
    <s v="male"/>
    <n v="33"/>
    <n v="3"/>
    <x v="1"/>
    <x v="1"/>
    <n v="4449.4620000000004"/>
  </r>
  <r>
    <n v="33"/>
    <s v="male"/>
    <n v="22.704999999999998"/>
    <n v="0"/>
    <x v="1"/>
    <x v="2"/>
    <n v="21984.47061"/>
  </r>
  <r>
    <n v="32"/>
    <s v="male"/>
    <n v="28.88"/>
    <n v="0"/>
    <x v="1"/>
    <x v="2"/>
    <n v="3866.8552"/>
  </r>
  <r>
    <n v="31"/>
    <s v="female"/>
    <n v="25.74"/>
    <n v="0"/>
    <x v="1"/>
    <x v="1"/>
    <n v="3756.6215999999999"/>
  </r>
  <r>
    <n v="46"/>
    <s v="female"/>
    <n v="33.44"/>
    <n v="1"/>
    <x v="1"/>
    <x v="1"/>
    <n v="8240.5895999999993"/>
  </r>
  <r>
    <n v="37"/>
    <s v="female"/>
    <n v="27.74"/>
    <n v="3"/>
    <x v="1"/>
    <x v="2"/>
    <n v="7281.5056000000004"/>
  </r>
  <r>
    <n v="37"/>
    <s v="male"/>
    <n v="29.83"/>
    <n v="2"/>
    <x v="1"/>
    <x v="3"/>
    <n v="6406.4107000000004"/>
  </r>
  <r>
    <n v="60"/>
    <s v="female"/>
    <n v="25.84"/>
    <n v="0"/>
    <x v="1"/>
    <x v="2"/>
    <n v="28923.136920000001"/>
  </r>
  <r>
    <n v="25"/>
    <s v="male"/>
    <n v="26.22"/>
    <n v="0"/>
    <x v="1"/>
    <x v="3"/>
    <n v="2721.3208"/>
  </r>
  <r>
    <n v="62"/>
    <s v="female"/>
    <n v="26.29"/>
    <n v="0"/>
    <x v="0"/>
    <x v="1"/>
    <n v="27808.7251"/>
  </r>
  <r>
    <n v="23"/>
    <s v="male"/>
    <n v="34.4"/>
    <n v="0"/>
    <x v="1"/>
    <x v="0"/>
    <n v="1826.8430000000001"/>
  </r>
  <r>
    <n v="56"/>
    <s v="female"/>
    <n v="39.82"/>
    <n v="0"/>
    <x v="1"/>
    <x v="1"/>
    <n v="11090.7178"/>
  </r>
  <r>
    <n v="27"/>
    <s v="male"/>
    <n v="42.13"/>
    <n v="0"/>
    <x v="0"/>
    <x v="1"/>
    <n v="39611.757700000002"/>
  </r>
  <r>
    <n v="19"/>
    <s v="male"/>
    <n v="24.6"/>
    <n v="1"/>
    <x v="1"/>
    <x v="0"/>
    <n v="1837.2370000000001"/>
  </r>
  <r>
    <n v="52"/>
    <s v="female"/>
    <n v="30.78"/>
    <n v="1"/>
    <x v="1"/>
    <x v="3"/>
    <n v="10797.3362"/>
  </r>
  <r>
    <n v="23"/>
    <s v="male"/>
    <n v="23.844999999999999"/>
    <n v="0"/>
    <x v="1"/>
    <x v="3"/>
    <n v="2395.17155"/>
  </r>
  <r>
    <n v="56"/>
    <s v="male"/>
    <n v="40.299999999999997"/>
    <n v="0"/>
    <x v="1"/>
    <x v="0"/>
    <n v="10602.385"/>
  </r>
  <r>
    <n v="30"/>
    <s v="male"/>
    <n v="35.299999999999997"/>
    <n v="0"/>
    <x v="0"/>
    <x v="0"/>
    <n v="36837.466999999997"/>
  </r>
  <r>
    <n v="60"/>
    <s v="female"/>
    <n v="36.005000000000003"/>
    <n v="0"/>
    <x v="1"/>
    <x v="3"/>
    <n v="13228.846949999999"/>
  </r>
  <r>
    <n v="30"/>
    <s v="female"/>
    <n v="32.4"/>
    <n v="1"/>
    <x v="1"/>
    <x v="0"/>
    <n v="4149.7359999999999"/>
  </r>
  <r>
    <n v="18"/>
    <s v="male"/>
    <n v="34.1"/>
    <n v="0"/>
    <x v="1"/>
    <x v="1"/>
    <n v="1137.011"/>
  </r>
  <r>
    <n v="34"/>
    <s v="female"/>
    <n v="31.92"/>
    <n v="1"/>
    <x v="0"/>
    <x v="3"/>
    <n v="37701.876799999998"/>
  </r>
  <r>
    <n v="37"/>
    <s v="male"/>
    <n v="28.024999999999999"/>
    <n v="2"/>
    <x v="1"/>
    <x v="2"/>
    <n v="6203.90175"/>
  </r>
  <r>
    <n v="59"/>
    <s v="female"/>
    <n v="27.72"/>
    <n v="3"/>
    <x v="1"/>
    <x v="1"/>
    <n v="14001.1338"/>
  </r>
  <r>
    <n v="63"/>
    <s v="female"/>
    <n v="23.085000000000001"/>
    <n v="0"/>
    <x v="1"/>
    <x v="3"/>
    <n v="14451.835150000001"/>
  </r>
  <r>
    <n v="55"/>
    <s v="female"/>
    <n v="32.774999999999999"/>
    <n v="2"/>
    <x v="1"/>
    <x v="2"/>
    <n v="12268.632250000001"/>
  </r>
  <r>
    <n v="23"/>
    <s v="male"/>
    <n v="17.385000000000002"/>
    <n v="1"/>
    <x v="1"/>
    <x v="2"/>
    <n v="2775.1921499999999"/>
  </r>
  <r>
    <n v="31"/>
    <s v="male"/>
    <n v="36.299999999999997"/>
    <n v="2"/>
    <x v="0"/>
    <x v="0"/>
    <n v="38711"/>
  </r>
  <r>
    <n v="22"/>
    <s v="male"/>
    <n v="35.6"/>
    <n v="0"/>
    <x v="0"/>
    <x v="0"/>
    <n v="35585.576000000001"/>
  </r>
  <r>
    <n v="18"/>
    <s v="female"/>
    <n v="26.315000000000001"/>
    <n v="0"/>
    <x v="1"/>
    <x v="3"/>
    <n v="2198.1898500000002"/>
  </r>
  <r>
    <n v="19"/>
    <s v="female"/>
    <n v="28.6"/>
    <n v="5"/>
    <x v="1"/>
    <x v="0"/>
    <n v="4687.7969999999996"/>
  </r>
  <r>
    <n v="63"/>
    <s v="male"/>
    <n v="28.31"/>
    <n v="0"/>
    <x v="1"/>
    <x v="2"/>
    <n v="13770.097900000001"/>
  </r>
  <r>
    <n v="28"/>
    <s v="male"/>
    <n v="36.4"/>
    <n v="1"/>
    <x v="0"/>
    <x v="0"/>
    <n v="51194.559139999998"/>
  </r>
  <r>
    <n v="19"/>
    <s v="male"/>
    <n v="20.425000000000001"/>
    <n v="0"/>
    <x v="1"/>
    <x v="2"/>
    <n v="1625.4337499999999"/>
  </r>
  <r>
    <n v="62"/>
    <s v="female"/>
    <n v="32.965000000000003"/>
    <n v="3"/>
    <x v="1"/>
    <x v="2"/>
    <n v="15612.19335"/>
  </r>
  <r>
    <n v="26"/>
    <s v="male"/>
    <n v="20.8"/>
    <n v="0"/>
    <x v="1"/>
    <x v="0"/>
    <n v="2302.3000000000002"/>
  </r>
  <r>
    <n v="35"/>
    <s v="male"/>
    <n v="36.67"/>
    <n v="1"/>
    <x v="0"/>
    <x v="3"/>
    <n v="39774.276299999998"/>
  </r>
  <r>
    <n v="60"/>
    <s v="male"/>
    <n v="39.9"/>
    <n v="0"/>
    <x v="0"/>
    <x v="0"/>
    <n v="48173.360999999997"/>
  </r>
  <r>
    <n v="24"/>
    <s v="female"/>
    <n v="26.6"/>
    <n v="0"/>
    <x v="1"/>
    <x v="3"/>
    <n v="3046.0619999999999"/>
  </r>
  <r>
    <n v="31"/>
    <s v="female"/>
    <n v="36.630000000000003"/>
    <n v="2"/>
    <x v="1"/>
    <x v="1"/>
    <n v="4949.7587000000003"/>
  </r>
  <r>
    <n v="41"/>
    <s v="male"/>
    <n v="21.78"/>
    <n v="1"/>
    <x v="1"/>
    <x v="1"/>
    <n v="6272.4772000000003"/>
  </r>
  <r>
    <n v="37"/>
    <s v="female"/>
    <n v="30.8"/>
    <n v="2"/>
    <x v="1"/>
    <x v="1"/>
    <n v="6313.759"/>
  </r>
  <r>
    <n v="38"/>
    <s v="male"/>
    <n v="37.049999999999997"/>
    <n v="1"/>
    <x v="1"/>
    <x v="3"/>
    <n v="6079.6715000000004"/>
  </r>
  <r>
    <n v="55"/>
    <s v="male"/>
    <n v="37.299999999999997"/>
    <n v="0"/>
    <x v="1"/>
    <x v="0"/>
    <n v="20630.283510000001"/>
  </r>
  <r>
    <n v="18"/>
    <s v="female"/>
    <n v="38.664999999999999"/>
    <n v="2"/>
    <x v="1"/>
    <x v="3"/>
    <n v="3393.35635"/>
  </r>
  <r>
    <n v="28"/>
    <s v="female"/>
    <n v="34.770000000000003"/>
    <n v="0"/>
    <x v="1"/>
    <x v="2"/>
    <n v="3556.9223000000002"/>
  </r>
  <r>
    <n v="60"/>
    <s v="female"/>
    <n v="24.53"/>
    <n v="0"/>
    <x v="1"/>
    <x v="1"/>
    <n v="12629.896699999999"/>
  </r>
  <r>
    <n v="36"/>
    <s v="male"/>
    <n v="35.200000000000003"/>
    <n v="1"/>
    <x v="0"/>
    <x v="1"/>
    <n v="38709.175999999999"/>
  </r>
  <r>
    <n v="18"/>
    <s v="female"/>
    <n v="35.625"/>
    <n v="0"/>
    <x v="1"/>
    <x v="3"/>
    <n v="2211.1307499999998"/>
  </r>
  <r>
    <n v="21"/>
    <s v="female"/>
    <n v="33.630000000000003"/>
    <n v="2"/>
    <x v="1"/>
    <x v="2"/>
    <n v="3579.8287"/>
  </r>
  <r>
    <n v="48"/>
    <s v="male"/>
    <n v="28"/>
    <n v="1"/>
    <x v="0"/>
    <x v="0"/>
    <n v="23568.272000000001"/>
  </r>
  <r>
    <n v="36"/>
    <s v="male"/>
    <n v="34.43"/>
    <n v="0"/>
    <x v="0"/>
    <x v="1"/>
    <n v="37742.575700000001"/>
  </r>
  <r>
    <n v="40"/>
    <s v="female"/>
    <n v="28.69"/>
    <n v="3"/>
    <x v="1"/>
    <x v="2"/>
    <n v="8059.6791000000003"/>
  </r>
  <r>
    <n v="58"/>
    <s v="male"/>
    <n v="36.954999999999998"/>
    <n v="2"/>
    <x v="0"/>
    <x v="2"/>
    <n v="47496.494449999998"/>
  </r>
  <r>
    <n v="58"/>
    <s v="female"/>
    <n v="31.824999999999999"/>
    <n v="2"/>
    <x v="1"/>
    <x v="3"/>
    <n v="13607.36875"/>
  </r>
  <r>
    <n v="18"/>
    <s v="male"/>
    <n v="31.68"/>
    <n v="2"/>
    <x v="0"/>
    <x v="1"/>
    <n v="34303.167200000004"/>
  </r>
  <r>
    <n v="53"/>
    <s v="female"/>
    <n v="22.88"/>
    <n v="1"/>
    <x v="0"/>
    <x v="1"/>
    <n v="23244.790199999999"/>
  </r>
  <r>
    <n v="34"/>
    <s v="female"/>
    <n v="37.335000000000001"/>
    <n v="2"/>
    <x v="1"/>
    <x v="2"/>
    <n v="5989.5236500000001"/>
  </r>
  <r>
    <n v="43"/>
    <s v="male"/>
    <n v="27.36"/>
    <n v="3"/>
    <x v="1"/>
    <x v="3"/>
    <n v="8606.2173999999995"/>
  </r>
  <r>
    <n v="25"/>
    <s v="male"/>
    <n v="33.659999999999997"/>
    <n v="4"/>
    <x v="1"/>
    <x v="1"/>
    <n v="4504.6624000000002"/>
  </r>
  <r>
    <n v="64"/>
    <s v="male"/>
    <n v="24.7"/>
    <n v="1"/>
    <x v="1"/>
    <x v="2"/>
    <n v="30166.618170000002"/>
  </r>
  <r>
    <n v="28"/>
    <s v="female"/>
    <n v="25.934999999999999"/>
    <n v="1"/>
    <x v="1"/>
    <x v="2"/>
    <n v="4133.6416499999996"/>
  </r>
  <r>
    <n v="20"/>
    <s v="female"/>
    <n v="22.42"/>
    <n v="0"/>
    <x v="0"/>
    <x v="2"/>
    <n v="14711.7438"/>
  </r>
  <r>
    <n v="19"/>
    <s v="female"/>
    <n v="28.9"/>
    <n v="0"/>
    <x v="1"/>
    <x v="0"/>
    <n v="1743.2139999999999"/>
  </r>
  <r>
    <n v="61"/>
    <s v="female"/>
    <n v="39.1"/>
    <n v="2"/>
    <x v="1"/>
    <x v="0"/>
    <n v="14235.072"/>
  </r>
  <r>
    <n v="40"/>
    <s v="male"/>
    <n v="26.315000000000001"/>
    <n v="1"/>
    <x v="1"/>
    <x v="2"/>
    <n v="6389.3778499999999"/>
  </r>
  <r>
    <n v="40"/>
    <s v="female"/>
    <n v="36.19"/>
    <n v="0"/>
    <x v="1"/>
    <x v="1"/>
    <n v="5920.1040999999996"/>
  </r>
  <r>
    <n v="28"/>
    <s v="male"/>
    <n v="23.98"/>
    <n v="3"/>
    <x v="0"/>
    <x v="1"/>
    <n v="17663.144199999999"/>
  </r>
  <r>
    <n v="27"/>
    <s v="female"/>
    <n v="24.75"/>
    <n v="0"/>
    <x v="0"/>
    <x v="1"/>
    <n v="16577.779500000001"/>
  </r>
  <r>
    <n v="31"/>
    <s v="male"/>
    <n v="28.5"/>
    <n v="5"/>
    <x v="1"/>
    <x v="3"/>
    <n v="6799.4579999999996"/>
  </r>
  <r>
    <n v="53"/>
    <s v="female"/>
    <n v="28.1"/>
    <n v="3"/>
    <x v="1"/>
    <x v="0"/>
    <n v="11741.726000000001"/>
  </r>
  <r>
    <n v="58"/>
    <s v="male"/>
    <n v="32.01"/>
    <n v="1"/>
    <x v="1"/>
    <x v="1"/>
    <n v="11946.625899999999"/>
  </r>
  <r>
    <n v="44"/>
    <s v="male"/>
    <n v="27.4"/>
    <n v="2"/>
    <x v="1"/>
    <x v="0"/>
    <n v="7726.8540000000003"/>
  </r>
  <r>
    <n v="57"/>
    <s v="male"/>
    <n v="34.01"/>
    <n v="0"/>
    <x v="1"/>
    <x v="2"/>
    <n v="11356.660900000001"/>
  </r>
  <r>
    <n v="29"/>
    <s v="female"/>
    <n v="29.59"/>
    <n v="1"/>
    <x v="1"/>
    <x v="1"/>
    <n v="3947.4131000000002"/>
  </r>
  <r>
    <n v="21"/>
    <s v="male"/>
    <n v="35.53"/>
    <n v="0"/>
    <x v="1"/>
    <x v="1"/>
    <n v="1532.4697000000001"/>
  </r>
  <r>
    <n v="22"/>
    <s v="female"/>
    <n v="39.805"/>
    <n v="0"/>
    <x v="1"/>
    <x v="3"/>
    <n v="2755.0209500000001"/>
  </r>
  <r>
    <n v="41"/>
    <s v="female"/>
    <n v="32.965000000000003"/>
    <n v="0"/>
    <x v="1"/>
    <x v="2"/>
    <n v="6571.0243499999997"/>
  </r>
  <r>
    <n v="31"/>
    <s v="male"/>
    <n v="26.885000000000002"/>
    <n v="1"/>
    <x v="1"/>
    <x v="3"/>
    <n v="4441.2131499999996"/>
  </r>
  <r>
    <n v="45"/>
    <s v="female"/>
    <n v="38.284999999999997"/>
    <n v="0"/>
    <x v="1"/>
    <x v="3"/>
    <n v="7935.29115"/>
  </r>
  <r>
    <n v="22"/>
    <s v="male"/>
    <n v="37.619999999999997"/>
    <n v="1"/>
    <x v="0"/>
    <x v="1"/>
    <n v="37165.163800000002"/>
  </r>
  <r>
    <n v="48"/>
    <s v="female"/>
    <n v="41.23"/>
    <n v="4"/>
    <x v="1"/>
    <x v="2"/>
    <n v="11033.661700000001"/>
  </r>
  <r>
    <n v="37"/>
    <s v="female"/>
    <n v="34.799999999999997"/>
    <n v="2"/>
    <x v="0"/>
    <x v="0"/>
    <n v="39836.519"/>
  </r>
  <r>
    <n v="45"/>
    <s v="male"/>
    <n v="22.895"/>
    <n v="2"/>
    <x v="0"/>
    <x v="2"/>
    <n v="21098.554049999999"/>
  </r>
  <r>
    <n v="57"/>
    <s v="female"/>
    <n v="31.16"/>
    <n v="0"/>
    <x v="0"/>
    <x v="2"/>
    <n v="43578.939400000003"/>
  </r>
  <r>
    <n v="56"/>
    <s v="female"/>
    <n v="27.2"/>
    <n v="0"/>
    <x v="1"/>
    <x v="0"/>
    <n v="11073.175999999999"/>
  </r>
  <r>
    <n v="46"/>
    <s v="female"/>
    <n v="27.74"/>
    <n v="0"/>
    <x v="1"/>
    <x v="2"/>
    <n v="8026.6665999999996"/>
  </r>
  <r>
    <n v="55"/>
    <s v="female"/>
    <n v="26.98"/>
    <n v="0"/>
    <x v="1"/>
    <x v="2"/>
    <n v="11082.5772"/>
  </r>
  <r>
    <n v="21"/>
    <s v="female"/>
    <n v="39.49"/>
    <n v="0"/>
    <x v="1"/>
    <x v="1"/>
    <n v="2026.9740999999999"/>
  </r>
  <r>
    <n v="53"/>
    <s v="female"/>
    <n v="24.795000000000002"/>
    <n v="1"/>
    <x v="1"/>
    <x v="2"/>
    <n v="10942.13205"/>
  </r>
  <r>
    <n v="59"/>
    <s v="male"/>
    <n v="29.83"/>
    <n v="3"/>
    <x v="0"/>
    <x v="3"/>
    <n v="30184.936699999998"/>
  </r>
  <r>
    <n v="35"/>
    <s v="male"/>
    <n v="34.770000000000003"/>
    <n v="2"/>
    <x v="1"/>
    <x v="2"/>
    <n v="5729.0052999999998"/>
  </r>
  <r>
    <n v="64"/>
    <s v="female"/>
    <n v="31.3"/>
    <n v="2"/>
    <x v="0"/>
    <x v="0"/>
    <n v="47291.055"/>
  </r>
  <r>
    <n v="28"/>
    <s v="female"/>
    <n v="37.619999999999997"/>
    <n v="1"/>
    <x v="1"/>
    <x v="1"/>
    <n v="3766.8838000000001"/>
  </r>
  <r>
    <n v="54"/>
    <s v="female"/>
    <n v="30.8"/>
    <n v="3"/>
    <x v="1"/>
    <x v="0"/>
    <n v="12105.32"/>
  </r>
  <r>
    <n v="55"/>
    <s v="male"/>
    <n v="38.28"/>
    <n v="0"/>
    <x v="1"/>
    <x v="1"/>
    <n v="10226.2842"/>
  </r>
  <r>
    <n v="56"/>
    <s v="male"/>
    <n v="19.95"/>
    <n v="0"/>
    <x v="0"/>
    <x v="3"/>
    <n v="22412.648499999999"/>
  </r>
  <r>
    <n v="38"/>
    <s v="male"/>
    <n v="19.3"/>
    <n v="0"/>
    <x v="0"/>
    <x v="0"/>
    <n v="15820.699000000001"/>
  </r>
  <r>
    <n v="41"/>
    <s v="female"/>
    <n v="31.6"/>
    <n v="0"/>
    <x v="1"/>
    <x v="0"/>
    <n v="6186.1270000000004"/>
  </r>
  <r>
    <n v="30"/>
    <s v="male"/>
    <n v="25.46"/>
    <n v="0"/>
    <x v="1"/>
    <x v="3"/>
    <n v="3645.0893999999998"/>
  </r>
  <r>
    <n v="18"/>
    <s v="female"/>
    <n v="30.114999999999998"/>
    <n v="0"/>
    <x v="1"/>
    <x v="3"/>
    <n v="21344.846699999998"/>
  </r>
  <r>
    <n v="61"/>
    <s v="female"/>
    <n v="29.92"/>
    <n v="3"/>
    <x v="0"/>
    <x v="1"/>
    <n v="30942.191800000001"/>
  </r>
  <r>
    <n v="34"/>
    <s v="female"/>
    <n v="27.5"/>
    <n v="1"/>
    <x v="1"/>
    <x v="0"/>
    <n v="5003.8530000000001"/>
  </r>
  <r>
    <n v="20"/>
    <s v="male"/>
    <n v="28.024999999999999"/>
    <n v="1"/>
    <x v="0"/>
    <x v="2"/>
    <n v="17560.37975"/>
  </r>
  <r>
    <n v="19"/>
    <s v="female"/>
    <n v="28.4"/>
    <n v="1"/>
    <x v="1"/>
    <x v="0"/>
    <n v="2331.5189999999998"/>
  </r>
  <r>
    <n v="26"/>
    <s v="male"/>
    <n v="30.875"/>
    <n v="2"/>
    <x v="1"/>
    <x v="2"/>
    <n v="3877.3042500000001"/>
  </r>
  <r>
    <n v="29"/>
    <s v="male"/>
    <n v="27.94"/>
    <n v="0"/>
    <x v="1"/>
    <x v="1"/>
    <n v="2867.1196"/>
  </r>
  <r>
    <n v="63"/>
    <s v="male"/>
    <n v="35.090000000000003"/>
    <n v="0"/>
    <x v="0"/>
    <x v="1"/>
    <n v="47055.532099999997"/>
  </r>
  <r>
    <n v="54"/>
    <s v="male"/>
    <n v="33.630000000000003"/>
    <n v="1"/>
    <x v="1"/>
    <x v="2"/>
    <n v="10825.253699999999"/>
  </r>
  <r>
    <n v="55"/>
    <s v="female"/>
    <n v="29.7"/>
    <n v="2"/>
    <x v="1"/>
    <x v="0"/>
    <n v="11881.358"/>
  </r>
  <r>
    <n v="37"/>
    <s v="male"/>
    <n v="30.8"/>
    <n v="0"/>
    <x v="1"/>
    <x v="0"/>
    <n v="4646.759"/>
  </r>
  <r>
    <n v="21"/>
    <s v="female"/>
    <n v="35.72"/>
    <n v="0"/>
    <x v="1"/>
    <x v="2"/>
    <n v="2404.7338"/>
  </r>
  <r>
    <n v="52"/>
    <s v="male"/>
    <n v="32.204999999999998"/>
    <n v="3"/>
    <x v="1"/>
    <x v="3"/>
    <n v="11488.31695"/>
  </r>
  <r>
    <n v="60"/>
    <s v="male"/>
    <n v="28.594999999999999"/>
    <n v="0"/>
    <x v="1"/>
    <x v="3"/>
    <n v="30259.995559999999"/>
  </r>
  <r>
    <n v="58"/>
    <s v="male"/>
    <n v="49.06"/>
    <n v="0"/>
    <x v="1"/>
    <x v="1"/>
    <n v="11381.3254"/>
  </r>
  <r>
    <n v="29"/>
    <s v="female"/>
    <n v="27.94"/>
    <n v="1"/>
    <x v="0"/>
    <x v="1"/>
    <n v="19107.779600000002"/>
  </r>
  <r>
    <n v="49"/>
    <s v="female"/>
    <n v="27.17"/>
    <n v="0"/>
    <x v="1"/>
    <x v="1"/>
    <n v="8601.3292999999994"/>
  </r>
  <r>
    <n v="37"/>
    <s v="female"/>
    <n v="23.37"/>
    <n v="2"/>
    <x v="1"/>
    <x v="2"/>
    <n v="6686.4313000000002"/>
  </r>
  <r>
    <n v="44"/>
    <s v="male"/>
    <n v="37.1"/>
    <n v="2"/>
    <x v="1"/>
    <x v="0"/>
    <n v="7740.3370000000004"/>
  </r>
  <r>
    <n v="18"/>
    <s v="male"/>
    <n v="23.75"/>
    <n v="0"/>
    <x v="1"/>
    <x v="3"/>
    <n v="1705.6244999999999"/>
  </r>
  <r>
    <n v="20"/>
    <s v="female"/>
    <n v="28.975000000000001"/>
    <n v="0"/>
    <x v="1"/>
    <x v="2"/>
    <n v="2257.47525"/>
  </r>
  <r>
    <n v="44"/>
    <s v="male"/>
    <n v="31.35"/>
    <n v="1"/>
    <x v="0"/>
    <x v="3"/>
    <n v="39556.494500000001"/>
  </r>
  <r>
    <n v="47"/>
    <s v="female"/>
    <n v="33.914999999999999"/>
    <n v="3"/>
    <x v="1"/>
    <x v="2"/>
    <n v="10115.00885"/>
  </r>
  <r>
    <n v="26"/>
    <s v="female"/>
    <n v="28.785"/>
    <n v="0"/>
    <x v="1"/>
    <x v="3"/>
    <n v="3385.3991500000002"/>
  </r>
  <r>
    <n v="19"/>
    <s v="female"/>
    <n v="28.3"/>
    <n v="0"/>
    <x v="0"/>
    <x v="0"/>
    <n v="17081.080000000002"/>
  </r>
  <r>
    <n v="52"/>
    <s v="female"/>
    <n v="37.4"/>
    <n v="0"/>
    <x v="1"/>
    <x v="0"/>
    <n v="9634.5380000000005"/>
  </r>
  <r>
    <n v="32"/>
    <s v="female"/>
    <n v="17.765000000000001"/>
    <n v="2"/>
    <x v="0"/>
    <x v="2"/>
    <n v="32734.186300000001"/>
  </r>
  <r>
    <n v="38"/>
    <s v="male"/>
    <n v="34.700000000000003"/>
    <n v="2"/>
    <x v="1"/>
    <x v="0"/>
    <n v="6082.4049999999997"/>
  </r>
  <r>
    <n v="59"/>
    <s v="female"/>
    <n v="26.504999999999999"/>
    <n v="0"/>
    <x v="1"/>
    <x v="3"/>
    <n v="12815.444949999999"/>
  </r>
  <r>
    <n v="61"/>
    <s v="female"/>
    <n v="22.04"/>
    <n v="0"/>
    <x v="1"/>
    <x v="3"/>
    <n v="13616.3586"/>
  </r>
  <r>
    <n v="53"/>
    <s v="female"/>
    <n v="35.9"/>
    <n v="2"/>
    <x v="1"/>
    <x v="0"/>
    <n v="11163.567999999999"/>
  </r>
  <r>
    <n v="19"/>
    <s v="male"/>
    <n v="25.555"/>
    <n v="0"/>
    <x v="1"/>
    <x v="2"/>
    <n v="1632.5644500000001"/>
  </r>
  <r>
    <n v="20"/>
    <s v="female"/>
    <n v="28.785"/>
    <n v="0"/>
    <x v="1"/>
    <x v="3"/>
    <n v="2457.2111500000001"/>
  </r>
  <r>
    <n v="22"/>
    <s v="female"/>
    <n v="28.05"/>
    <n v="0"/>
    <x v="1"/>
    <x v="1"/>
    <n v="2155.6815000000001"/>
  </r>
  <r>
    <n v="19"/>
    <s v="male"/>
    <n v="34.1"/>
    <n v="0"/>
    <x v="1"/>
    <x v="0"/>
    <n v="1261.442"/>
  </r>
  <r>
    <n v="22"/>
    <s v="male"/>
    <n v="25.175000000000001"/>
    <n v="0"/>
    <x v="1"/>
    <x v="2"/>
    <n v="2045.68525"/>
  </r>
  <r>
    <n v="54"/>
    <s v="female"/>
    <n v="31.9"/>
    <n v="3"/>
    <x v="1"/>
    <x v="1"/>
    <n v="27322.73386"/>
  </r>
  <r>
    <n v="22"/>
    <s v="female"/>
    <n v="36"/>
    <n v="0"/>
    <x v="1"/>
    <x v="0"/>
    <n v="2166.732"/>
  </r>
  <r>
    <n v="34"/>
    <s v="male"/>
    <n v="22.42"/>
    <n v="2"/>
    <x v="1"/>
    <x v="3"/>
    <n v="27375.904780000001"/>
  </r>
  <r>
    <n v="26"/>
    <s v="male"/>
    <n v="32.49"/>
    <n v="1"/>
    <x v="1"/>
    <x v="3"/>
    <n v="3490.5491000000002"/>
  </r>
  <r>
    <n v="34"/>
    <s v="male"/>
    <n v="25.3"/>
    <n v="2"/>
    <x v="0"/>
    <x v="1"/>
    <n v="18972.494999999999"/>
  </r>
  <r>
    <n v="29"/>
    <s v="male"/>
    <n v="29.734999999999999"/>
    <n v="2"/>
    <x v="1"/>
    <x v="2"/>
    <n v="18157.876"/>
  </r>
  <r>
    <n v="30"/>
    <s v="male"/>
    <n v="28.69"/>
    <n v="3"/>
    <x v="0"/>
    <x v="2"/>
    <n v="20745.989099999999"/>
  </r>
  <r>
    <n v="29"/>
    <s v="female"/>
    <n v="38.83"/>
    <n v="3"/>
    <x v="1"/>
    <x v="1"/>
    <n v="5138.2566999999999"/>
  </r>
  <r>
    <n v="46"/>
    <s v="male"/>
    <n v="30.495000000000001"/>
    <n v="3"/>
    <x v="0"/>
    <x v="2"/>
    <n v="40720.551050000002"/>
  </r>
  <r>
    <n v="51"/>
    <s v="female"/>
    <n v="37.729999999999997"/>
    <n v="1"/>
    <x v="1"/>
    <x v="1"/>
    <n v="9877.6077000000005"/>
  </r>
  <r>
    <n v="53"/>
    <s v="female"/>
    <n v="37.43"/>
    <n v="1"/>
    <x v="1"/>
    <x v="2"/>
    <n v="10959.6947"/>
  </r>
  <r>
    <n v="19"/>
    <s v="male"/>
    <n v="28.4"/>
    <n v="1"/>
    <x v="1"/>
    <x v="0"/>
    <n v="1842.519"/>
  </r>
  <r>
    <n v="35"/>
    <s v="male"/>
    <n v="24.13"/>
    <n v="1"/>
    <x v="1"/>
    <x v="2"/>
    <n v="5125.2156999999997"/>
  </r>
  <r>
    <n v="48"/>
    <s v="male"/>
    <n v="29.7"/>
    <n v="0"/>
    <x v="1"/>
    <x v="1"/>
    <n v="7789.6350000000002"/>
  </r>
  <r>
    <n v="32"/>
    <s v="female"/>
    <n v="37.145000000000003"/>
    <n v="3"/>
    <x v="1"/>
    <x v="3"/>
    <n v="6334.3435499999996"/>
  </r>
  <r>
    <n v="42"/>
    <s v="female"/>
    <n v="23.37"/>
    <n v="0"/>
    <x v="0"/>
    <x v="3"/>
    <n v="19964.746299999999"/>
  </r>
  <r>
    <n v="40"/>
    <s v="female"/>
    <n v="25.46"/>
    <n v="1"/>
    <x v="1"/>
    <x v="3"/>
    <n v="7077.1894000000002"/>
  </r>
  <r>
    <n v="44"/>
    <s v="male"/>
    <n v="39.520000000000003"/>
    <n v="0"/>
    <x v="1"/>
    <x v="2"/>
    <n v="6948.7007999999996"/>
  </r>
  <r>
    <n v="48"/>
    <s v="male"/>
    <n v="24.42"/>
    <n v="0"/>
    <x v="0"/>
    <x v="1"/>
    <n v="21223.675800000001"/>
  </r>
  <r>
    <n v="18"/>
    <s v="male"/>
    <n v="25.175000000000001"/>
    <n v="0"/>
    <x v="0"/>
    <x v="3"/>
    <n v="15518.180249999999"/>
  </r>
  <r>
    <n v="30"/>
    <s v="male"/>
    <n v="35.53"/>
    <n v="0"/>
    <x v="0"/>
    <x v="1"/>
    <n v="36950.256699999998"/>
  </r>
  <r>
    <n v="50"/>
    <s v="female"/>
    <n v="27.83"/>
    <n v="3"/>
    <x v="1"/>
    <x v="1"/>
    <n v="19749.383379999999"/>
  </r>
  <r>
    <n v="42"/>
    <s v="female"/>
    <n v="26.6"/>
    <n v="0"/>
    <x v="0"/>
    <x v="2"/>
    <n v="21348.705999999998"/>
  </r>
  <r>
    <n v="18"/>
    <s v="female"/>
    <n v="36.85"/>
    <n v="0"/>
    <x v="0"/>
    <x v="1"/>
    <n v="36149.483500000002"/>
  </r>
  <r>
    <n v="54"/>
    <s v="male"/>
    <n v="39.6"/>
    <n v="1"/>
    <x v="1"/>
    <x v="0"/>
    <n v="10450.552"/>
  </r>
  <r>
    <n v="32"/>
    <s v="female"/>
    <n v="29.8"/>
    <n v="2"/>
    <x v="1"/>
    <x v="0"/>
    <n v="5152.134"/>
  </r>
  <r>
    <n v="37"/>
    <s v="male"/>
    <n v="29.64"/>
    <n v="0"/>
    <x v="1"/>
    <x v="2"/>
    <n v="5028.1466"/>
  </r>
  <r>
    <n v="47"/>
    <s v="male"/>
    <n v="28.215"/>
    <n v="4"/>
    <x v="1"/>
    <x v="3"/>
    <n v="10407.085849999999"/>
  </r>
  <r>
    <n v="20"/>
    <s v="female"/>
    <n v="37"/>
    <n v="5"/>
    <x v="1"/>
    <x v="0"/>
    <n v="4830.63"/>
  </r>
  <r>
    <n v="32"/>
    <s v="female"/>
    <n v="33.155000000000001"/>
    <n v="3"/>
    <x v="1"/>
    <x v="2"/>
    <n v="6128.79745"/>
  </r>
  <r>
    <n v="19"/>
    <s v="female"/>
    <n v="31.824999999999999"/>
    <n v="1"/>
    <x v="1"/>
    <x v="2"/>
    <n v="2719.2797500000001"/>
  </r>
  <r>
    <n v="27"/>
    <s v="male"/>
    <n v="18.905000000000001"/>
    <n v="3"/>
    <x v="1"/>
    <x v="3"/>
    <n v="4827.9049500000001"/>
  </r>
  <r>
    <n v="63"/>
    <s v="male"/>
    <n v="41.47"/>
    <n v="0"/>
    <x v="1"/>
    <x v="1"/>
    <n v="13405.390299999999"/>
  </r>
  <r>
    <n v="49"/>
    <s v="male"/>
    <n v="30.3"/>
    <n v="0"/>
    <x v="1"/>
    <x v="0"/>
    <n v="8116.68"/>
  </r>
  <r>
    <n v="18"/>
    <s v="male"/>
    <n v="15.96"/>
    <n v="0"/>
    <x v="1"/>
    <x v="3"/>
    <n v="1694.7963999999999"/>
  </r>
  <r>
    <n v="35"/>
    <s v="female"/>
    <n v="34.799999999999997"/>
    <n v="1"/>
    <x v="1"/>
    <x v="0"/>
    <n v="5246.0469999999996"/>
  </r>
  <r>
    <n v="24"/>
    <s v="female"/>
    <n v="33.344999999999999"/>
    <n v="0"/>
    <x v="1"/>
    <x v="2"/>
    <n v="2855.4375500000001"/>
  </r>
  <r>
    <n v="63"/>
    <s v="female"/>
    <n v="37.700000000000003"/>
    <n v="0"/>
    <x v="0"/>
    <x v="0"/>
    <n v="48824.45"/>
  </r>
  <r>
    <n v="38"/>
    <s v="male"/>
    <n v="27.835000000000001"/>
    <n v="2"/>
    <x v="1"/>
    <x v="2"/>
    <n v="6455.86265"/>
  </r>
  <r>
    <n v="54"/>
    <s v="male"/>
    <n v="29.2"/>
    <n v="1"/>
    <x v="1"/>
    <x v="0"/>
    <n v="10436.096"/>
  </r>
  <r>
    <n v="46"/>
    <s v="female"/>
    <n v="28.9"/>
    <n v="2"/>
    <x v="1"/>
    <x v="0"/>
    <n v="8823.2790000000005"/>
  </r>
  <r>
    <n v="41"/>
    <s v="female"/>
    <n v="33.155000000000001"/>
    <n v="3"/>
    <x v="1"/>
    <x v="3"/>
    <n v="8538.28845"/>
  </r>
  <r>
    <n v="58"/>
    <s v="male"/>
    <n v="28.594999999999999"/>
    <n v="0"/>
    <x v="1"/>
    <x v="2"/>
    <n v="11735.87905"/>
  </r>
  <r>
    <n v="18"/>
    <s v="female"/>
    <n v="38.28"/>
    <n v="0"/>
    <x v="1"/>
    <x v="1"/>
    <n v="1631.8212000000001"/>
  </r>
  <r>
    <n v="22"/>
    <s v="male"/>
    <n v="19.95"/>
    <n v="3"/>
    <x v="1"/>
    <x v="3"/>
    <n v="4005.4225000000001"/>
  </r>
  <r>
    <n v="44"/>
    <s v="female"/>
    <n v="26.41"/>
    <n v="0"/>
    <x v="1"/>
    <x v="2"/>
    <n v="7419.4778999999999"/>
  </r>
  <r>
    <n v="44"/>
    <s v="male"/>
    <n v="30.69"/>
    <n v="2"/>
    <x v="1"/>
    <x v="1"/>
    <n v="7731.4270999999999"/>
  </r>
  <r>
    <n v="36"/>
    <s v="male"/>
    <n v="41.895000000000003"/>
    <n v="3"/>
    <x v="0"/>
    <x v="3"/>
    <n v="43753.337050000002"/>
  </r>
  <r>
    <n v="26"/>
    <s v="female"/>
    <n v="29.92"/>
    <n v="2"/>
    <x v="1"/>
    <x v="1"/>
    <n v="3981.9767999999999"/>
  </r>
  <r>
    <n v="30"/>
    <s v="female"/>
    <n v="30.9"/>
    <n v="3"/>
    <x v="1"/>
    <x v="0"/>
    <n v="5325.6509999999998"/>
  </r>
  <r>
    <n v="41"/>
    <s v="female"/>
    <n v="32.200000000000003"/>
    <n v="1"/>
    <x v="1"/>
    <x v="0"/>
    <n v="6775.9610000000002"/>
  </r>
  <r>
    <n v="29"/>
    <s v="female"/>
    <n v="32.11"/>
    <n v="2"/>
    <x v="1"/>
    <x v="2"/>
    <n v="4922.9159"/>
  </r>
  <r>
    <n v="61"/>
    <s v="male"/>
    <n v="31.57"/>
    <n v="0"/>
    <x v="1"/>
    <x v="1"/>
    <n v="12557.605299999999"/>
  </r>
  <r>
    <n v="36"/>
    <s v="female"/>
    <n v="26.2"/>
    <n v="0"/>
    <x v="1"/>
    <x v="0"/>
    <n v="4883.866"/>
  </r>
  <r>
    <n v="25"/>
    <s v="male"/>
    <n v="25.74"/>
    <n v="0"/>
    <x v="1"/>
    <x v="1"/>
    <n v="2137.6536000000001"/>
  </r>
  <r>
    <n v="56"/>
    <s v="female"/>
    <n v="26.6"/>
    <n v="1"/>
    <x v="1"/>
    <x v="2"/>
    <n v="12044.342000000001"/>
  </r>
  <r>
    <n v="18"/>
    <s v="male"/>
    <n v="34.43"/>
    <n v="0"/>
    <x v="1"/>
    <x v="1"/>
    <n v="1137.4697000000001"/>
  </r>
  <r>
    <n v="19"/>
    <s v="male"/>
    <n v="30.59"/>
    <n v="0"/>
    <x v="1"/>
    <x v="2"/>
    <n v="1639.5631000000001"/>
  </r>
  <r>
    <n v="39"/>
    <s v="female"/>
    <n v="32.799999999999997"/>
    <n v="0"/>
    <x v="1"/>
    <x v="0"/>
    <n v="5649.7150000000001"/>
  </r>
  <r>
    <n v="45"/>
    <s v="female"/>
    <n v="28.6"/>
    <n v="2"/>
    <x v="1"/>
    <x v="1"/>
    <n v="8516.8289999999997"/>
  </r>
  <r>
    <n v="51"/>
    <s v="female"/>
    <n v="18.05"/>
    <n v="0"/>
    <x v="1"/>
    <x v="2"/>
    <n v="9644.2525000000005"/>
  </r>
  <r>
    <n v="64"/>
    <s v="female"/>
    <n v="39.33"/>
    <n v="0"/>
    <x v="1"/>
    <x v="3"/>
    <n v="14901.5167"/>
  </r>
  <r>
    <n v="19"/>
    <s v="female"/>
    <n v="32.11"/>
    <n v="0"/>
    <x v="1"/>
    <x v="2"/>
    <n v="2130.6759000000002"/>
  </r>
  <r>
    <n v="48"/>
    <s v="female"/>
    <n v="32.229999999999997"/>
    <n v="1"/>
    <x v="1"/>
    <x v="1"/>
    <n v="8871.1517000000003"/>
  </r>
  <r>
    <n v="60"/>
    <s v="female"/>
    <n v="24.035"/>
    <n v="0"/>
    <x v="1"/>
    <x v="2"/>
    <n v="13012.20865"/>
  </r>
  <r>
    <n v="27"/>
    <s v="female"/>
    <n v="36.08"/>
    <n v="0"/>
    <x v="0"/>
    <x v="1"/>
    <n v="37133.898200000003"/>
  </r>
  <r>
    <n v="46"/>
    <s v="male"/>
    <n v="22.3"/>
    <n v="0"/>
    <x v="1"/>
    <x v="0"/>
    <n v="7147.1049999999996"/>
  </r>
  <r>
    <n v="28"/>
    <s v="female"/>
    <n v="28.88"/>
    <n v="1"/>
    <x v="1"/>
    <x v="3"/>
    <n v="4337.7352000000001"/>
  </r>
  <r>
    <n v="59"/>
    <s v="male"/>
    <n v="26.4"/>
    <n v="0"/>
    <x v="1"/>
    <x v="1"/>
    <n v="11743.299000000001"/>
  </r>
  <r>
    <n v="35"/>
    <s v="male"/>
    <n v="27.74"/>
    <n v="2"/>
    <x v="0"/>
    <x v="3"/>
    <n v="20984.0936"/>
  </r>
  <r>
    <n v="63"/>
    <s v="female"/>
    <n v="31.8"/>
    <n v="0"/>
    <x v="1"/>
    <x v="0"/>
    <n v="13880.949000000001"/>
  </r>
  <r>
    <n v="40"/>
    <s v="male"/>
    <n v="41.23"/>
    <n v="1"/>
    <x v="1"/>
    <x v="3"/>
    <n v="6610.1097"/>
  </r>
  <r>
    <n v="20"/>
    <s v="male"/>
    <n v="33"/>
    <n v="1"/>
    <x v="1"/>
    <x v="0"/>
    <n v="1980.07"/>
  </r>
  <r>
    <n v="40"/>
    <s v="male"/>
    <n v="30.875"/>
    <n v="4"/>
    <x v="1"/>
    <x v="2"/>
    <n v="8162.7162500000004"/>
  </r>
  <r>
    <n v="24"/>
    <s v="male"/>
    <n v="28.5"/>
    <n v="2"/>
    <x v="1"/>
    <x v="2"/>
    <n v="3537.703"/>
  </r>
  <r>
    <n v="34"/>
    <s v="female"/>
    <n v="26.73"/>
    <n v="1"/>
    <x v="1"/>
    <x v="1"/>
    <n v="5002.7826999999997"/>
  </r>
  <r>
    <n v="45"/>
    <s v="female"/>
    <n v="30.9"/>
    <n v="2"/>
    <x v="1"/>
    <x v="0"/>
    <n v="8520.0259999999998"/>
  </r>
  <r>
    <n v="41"/>
    <s v="female"/>
    <n v="37.1"/>
    <n v="2"/>
    <x v="1"/>
    <x v="0"/>
    <n v="7371.7719999999999"/>
  </r>
  <r>
    <n v="53"/>
    <s v="female"/>
    <n v="26.6"/>
    <n v="0"/>
    <x v="1"/>
    <x v="2"/>
    <n v="10355.641"/>
  </r>
  <r>
    <n v="27"/>
    <s v="male"/>
    <n v="23.1"/>
    <n v="0"/>
    <x v="1"/>
    <x v="1"/>
    <n v="2483.7359999999999"/>
  </r>
  <r>
    <n v="26"/>
    <s v="female"/>
    <n v="29.92"/>
    <n v="1"/>
    <x v="1"/>
    <x v="1"/>
    <n v="3392.9767999999999"/>
  </r>
  <r>
    <n v="24"/>
    <s v="female"/>
    <n v="23.21"/>
    <n v="0"/>
    <x v="1"/>
    <x v="1"/>
    <n v="25081.76784"/>
  </r>
  <r>
    <n v="34"/>
    <s v="female"/>
    <n v="33.700000000000003"/>
    <n v="1"/>
    <x v="1"/>
    <x v="0"/>
    <n v="5012.4709999999995"/>
  </r>
  <r>
    <n v="53"/>
    <s v="female"/>
    <n v="33.25"/>
    <n v="0"/>
    <x v="1"/>
    <x v="3"/>
    <n v="10564.8845"/>
  </r>
  <r>
    <n v="32"/>
    <s v="male"/>
    <n v="30.8"/>
    <n v="3"/>
    <x v="1"/>
    <x v="0"/>
    <n v="5253.5240000000003"/>
  </r>
  <r>
    <n v="19"/>
    <s v="male"/>
    <n v="34.799999999999997"/>
    <n v="0"/>
    <x v="0"/>
    <x v="0"/>
    <n v="34779.614999999998"/>
  </r>
  <r>
    <n v="42"/>
    <s v="male"/>
    <n v="24.64"/>
    <n v="0"/>
    <x v="0"/>
    <x v="1"/>
    <n v="19515.5416"/>
  </r>
  <r>
    <n v="55"/>
    <s v="male"/>
    <n v="33.880000000000003"/>
    <n v="3"/>
    <x v="1"/>
    <x v="1"/>
    <n v="11987.1682"/>
  </r>
  <r>
    <n v="28"/>
    <s v="male"/>
    <n v="38.06"/>
    <n v="0"/>
    <x v="1"/>
    <x v="1"/>
    <n v="2689.4953999999998"/>
  </r>
  <r>
    <n v="58"/>
    <s v="female"/>
    <n v="41.91"/>
    <n v="0"/>
    <x v="1"/>
    <x v="1"/>
    <n v="24227.337240000001"/>
  </r>
  <r>
    <n v="41"/>
    <s v="female"/>
    <n v="31.635000000000002"/>
    <n v="1"/>
    <x v="1"/>
    <x v="3"/>
    <n v="7358.1756500000001"/>
  </r>
  <r>
    <n v="47"/>
    <s v="male"/>
    <n v="25.46"/>
    <n v="2"/>
    <x v="1"/>
    <x v="3"/>
    <n v="9225.2564000000002"/>
  </r>
  <r>
    <n v="42"/>
    <s v="female"/>
    <n v="36.195"/>
    <n v="1"/>
    <x v="1"/>
    <x v="2"/>
    <n v="7443.6430499999997"/>
  </r>
  <r>
    <n v="59"/>
    <s v="female"/>
    <n v="27.83"/>
    <n v="3"/>
    <x v="1"/>
    <x v="1"/>
    <n v="14001.286700000001"/>
  </r>
  <r>
    <n v="19"/>
    <s v="female"/>
    <n v="17.8"/>
    <n v="0"/>
    <x v="1"/>
    <x v="0"/>
    <n v="1727.7850000000001"/>
  </r>
  <r>
    <n v="59"/>
    <s v="male"/>
    <n v="27.5"/>
    <n v="1"/>
    <x v="1"/>
    <x v="0"/>
    <n v="12333.828"/>
  </r>
  <r>
    <n v="39"/>
    <s v="male"/>
    <n v="24.51"/>
    <n v="2"/>
    <x v="1"/>
    <x v="2"/>
    <n v="6710.1918999999998"/>
  </r>
  <r>
    <n v="40"/>
    <s v="female"/>
    <n v="22.22"/>
    <n v="2"/>
    <x v="0"/>
    <x v="1"/>
    <n v="19444.265800000001"/>
  </r>
  <r>
    <n v="18"/>
    <s v="female"/>
    <n v="26.73"/>
    <n v="0"/>
    <x v="1"/>
    <x v="1"/>
    <n v="1615.7666999999999"/>
  </r>
  <r>
    <n v="31"/>
    <s v="male"/>
    <n v="38.39"/>
    <n v="2"/>
    <x v="1"/>
    <x v="1"/>
    <n v="4463.2051000000001"/>
  </r>
  <r>
    <n v="19"/>
    <s v="male"/>
    <n v="29.07"/>
    <n v="0"/>
    <x v="0"/>
    <x v="2"/>
    <n v="17352.6803"/>
  </r>
  <r>
    <n v="44"/>
    <s v="male"/>
    <n v="38.06"/>
    <n v="1"/>
    <x v="1"/>
    <x v="1"/>
    <n v="7152.6714000000002"/>
  </r>
  <r>
    <n v="23"/>
    <s v="female"/>
    <n v="36.67"/>
    <n v="2"/>
    <x v="0"/>
    <x v="3"/>
    <n v="38511.628299999997"/>
  </r>
  <r>
    <n v="33"/>
    <s v="female"/>
    <n v="22.135000000000002"/>
    <n v="1"/>
    <x v="1"/>
    <x v="3"/>
    <n v="5354.0746499999996"/>
  </r>
  <r>
    <n v="55"/>
    <s v="female"/>
    <n v="26.8"/>
    <n v="1"/>
    <x v="1"/>
    <x v="0"/>
    <n v="35160.134570000002"/>
  </r>
  <r>
    <n v="40"/>
    <s v="male"/>
    <n v="35.299999999999997"/>
    <n v="3"/>
    <x v="1"/>
    <x v="0"/>
    <n v="7196.8670000000002"/>
  </r>
  <r>
    <n v="63"/>
    <s v="female"/>
    <n v="27.74"/>
    <n v="0"/>
    <x v="0"/>
    <x v="3"/>
    <n v="29523.1656"/>
  </r>
  <r>
    <n v="54"/>
    <s v="male"/>
    <n v="30.02"/>
    <n v="0"/>
    <x v="1"/>
    <x v="2"/>
    <n v="24476.478510000001"/>
  </r>
  <r>
    <n v="60"/>
    <s v="female"/>
    <n v="38.06"/>
    <n v="0"/>
    <x v="1"/>
    <x v="1"/>
    <n v="12648.7034"/>
  </r>
  <r>
    <n v="24"/>
    <s v="male"/>
    <n v="35.86"/>
    <n v="0"/>
    <x v="1"/>
    <x v="1"/>
    <n v="1986.9333999999999"/>
  </r>
  <r>
    <n v="19"/>
    <s v="male"/>
    <n v="20.9"/>
    <n v="1"/>
    <x v="1"/>
    <x v="0"/>
    <n v="1832.0940000000001"/>
  </r>
  <r>
    <n v="29"/>
    <s v="male"/>
    <n v="28.975000000000001"/>
    <n v="1"/>
    <x v="1"/>
    <x v="3"/>
    <n v="4040.55825"/>
  </r>
  <r>
    <n v="18"/>
    <s v="male"/>
    <n v="17.29"/>
    <n v="2"/>
    <x v="0"/>
    <x v="3"/>
    <n v="12829.455099999999"/>
  </r>
  <r>
    <n v="63"/>
    <s v="female"/>
    <n v="32.200000000000003"/>
    <n v="2"/>
    <x v="0"/>
    <x v="0"/>
    <n v="47305.305"/>
  </r>
  <r>
    <n v="54"/>
    <s v="male"/>
    <n v="34.21"/>
    <n v="2"/>
    <x v="0"/>
    <x v="1"/>
    <n v="44260.749900000003"/>
  </r>
  <r>
    <n v="27"/>
    <s v="male"/>
    <n v="30.3"/>
    <n v="3"/>
    <x v="1"/>
    <x v="0"/>
    <n v="4260.7439999999997"/>
  </r>
  <r>
    <n v="50"/>
    <s v="male"/>
    <n v="31.824999999999999"/>
    <n v="0"/>
    <x v="0"/>
    <x v="3"/>
    <n v="41097.161749999999"/>
  </r>
  <r>
    <n v="55"/>
    <s v="female"/>
    <n v="25.364999999999998"/>
    <n v="3"/>
    <x v="1"/>
    <x v="3"/>
    <n v="13047.332350000001"/>
  </r>
  <r>
    <n v="56"/>
    <s v="male"/>
    <n v="33.630000000000003"/>
    <n v="0"/>
    <x v="0"/>
    <x v="2"/>
    <n v="43921.183700000001"/>
  </r>
  <r>
    <n v="38"/>
    <s v="female"/>
    <n v="40.15"/>
    <n v="0"/>
    <x v="1"/>
    <x v="1"/>
    <n v="5400.9804999999997"/>
  </r>
  <r>
    <n v="51"/>
    <s v="male"/>
    <n v="24.414999999999999"/>
    <n v="4"/>
    <x v="1"/>
    <x v="2"/>
    <n v="11520.099850000001"/>
  </r>
  <r>
    <n v="19"/>
    <s v="male"/>
    <n v="31.92"/>
    <n v="0"/>
    <x v="0"/>
    <x v="2"/>
    <n v="33750.291799999999"/>
  </r>
  <r>
    <n v="58"/>
    <s v="female"/>
    <n v="25.2"/>
    <n v="0"/>
    <x v="1"/>
    <x v="0"/>
    <n v="11837.16"/>
  </r>
  <r>
    <n v="20"/>
    <s v="female"/>
    <n v="26.84"/>
    <n v="1"/>
    <x v="0"/>
    <x v="1"/>
    <n v="17085.267599999999"/>
  </r>
  <r>
    <n v="52"/>
    <s v="male"/>
    <n v="24.32"/>
    <n v="3"/>
    <x v="0"/>
    <x v="3"/>
    <n v="24869.836800000001"/>
  </r>
  <r>
    <n v="19"/>
    <s v="male"/>
    <n v="36.954999999999998"/>
    <n v="0"/>
    <x v="0"/>
    <x v="2"/>
    <n v="36219.405449999998"/>
  </r>
  <r>
    <n v="53"/>
    <s v="female"/>
    <n v="38.06"/>
    <n v="3"/>
    <x v="1"/>
    <x v="1"/>
    <n v="20462.997660000001"/>
  </r>
  <r>
    <n v="46"/>
    <s v="male"/>
    <n v="42.35"/>
    <n v="3"/>
    <x v="0"/>
    <x v="1"/>
    <n v="46151.124499999998"/>
  </r>
  <r>
    <n v="40"/>
    <s v="male"/>
    <n v="19.8"/>
    <n v="1"/>
    <x v="0"/>
    <x v="1"/>
    <n v="17179.522000000001"/>
  </r>
  <r>
    <n v="59"/>
    <s v="female"/>
    <n v="32.395000000000003"/>
    <n v="3"/>
    <x v="1"/>
    <x v="3"/>
    <n v="14590.63205"/>
  </r>
  <r>
    <n v="45"/>
    <s v="male"/>
    <n v="30.2"/>
    <n v="1"/>
    <x v="1"/>
    <x v="0"/>
    <n v="7441.0529999999999"/>
  </r>
  <r>
    <n v="49"/>
    <s v="male"/>
    <n v="25.84"/>
    <n v="1"/>
    <x v="1"/>
    <x v="3"/>
    <n v="9282.4806000000008"/>
  </r>
  <r>
    <n v="18"/>
    <s v="male"/>
    <n v="29.37"/>
    <n v="1"/>
    <x v="1"/>
    <x v="1"/>
    <n v="1719.4363000000001"/>
  </r>
  <r>
    <n v="50"/>
    <s v="male"/>
    <n v="34.200000000000003"/>
    <n v="2"/>
    <x v="0"/>
    <x v="0"/>
    <n v="42856.838000000003"/>
  </r>
  <r>
    <n v="41"/>
    <s v="male"/>
    <n v="37.049999999999997"/>
    <n v="2"/>
    <x v="1"/>
    <x v="2"/>
    <n v="7265.7025000000003"/>
  </r>
  <r>
    <n v="50"/>
    <s v="male"/>
    <n v="27.454999999999998"/>
    <n v="1"/>
    <x v="1"/>
    <x v="3"/>
    <n v="9617.6624499999998"/>
  </r>
  <r>
    <n v="25"/>
    <s v="male"/>
    <n v="27.55"/>
    <n v="0"/>
    <x v="1"/>
    <x v="2"/>
    <n v="2523.1695"/>
  </r>
  <r>
    <n v="47"/>
    <s v="female"/>
    <n v="26.6"/>
    <n v="2"/>
    <x v="1"/>
    <x v="3"/>
    <n v="9715.8410000000003"/>
  </r>
  <r>
    <n v="19"/>
    <s v="male"/>
    <n v="20.614999999999998"/>
    <n v="2"/>
    <x v="1"/>
    <x v="2"/>
    <n v="2803.69785"/>
  </r>
  <r>
    <n v="22"/>
    <s v="female"/>
    <n v="24.3"/>
    <n v="0"/>
    <x v="1"/>
    <x v="0"/>
    <n v="2150.4690000000001"/>
  </r>
  <r>
    <n v="59"/>
    <s v="male"/>
    <n v="31.79"/>
    <n v="2"/>
    <x v="1"/>
    <x v="1"/>
    <n v="12928.7911"/>
  </r>
  <r>
    <n v="51"/>
    <s v="female"/>
    <n v="21.56"/>
    <n v="1"/>
    <x v="1"/>
    <x v="1"/>
    <n v="9855.1314000000002"/>
  </r>
  <r>
    <n v="40"/>
    <s v="female"/>
    <n v="28.12"/>
    <n v="1"/>
    <x v="0"/>
    <x v="3"/>
    <n v="22331.566800000001"/>
  </r>
  <r>
    <n v="54"/>
    <s v="male"/>
    <n v="40.564999999999998"/>
    <n v="3"/>
    <x v="0"/>
    <x v="3"/>
    <n v="48549.178350000002"/>
  </r>
  <r>
    <n v="30"/>
    <s v="male"/>
    <n v="27.645"/>
    <n v="1"/>
    <x v="1"/>
    <x v="3"/>
    <n v="4237.12655"/>
  </r>
  <r>
    <n v="55"/>
    <s v="female"/>
    <n v="32.395000000000003"/>
    <n v="1"/>
    <x v="1"/>
    <x v="3"/>
    <n v="11879.10405"/>
  </r>
  <r>
    <n v="52"/>
    <s v="female"/>
    <n v="31.2"/>
    <n v="0"/>
    <x v="1"/>
    <x v="0"/>
    <n v="9625.92"/>
  </r>
  <r>
    <n v="46"/>
    <s v="male"/>
    <n v="26.62"/>
    <n v="1"/>
    <x v="1"/>
    <x v="1"/>
    <n v="7742.1098000000002"/>
  </r>
  <r>
    <n v="46"/>
    <s v="female"/>
    <n v="48.07"/>
    <n v="2"/>
    <x v="1"/>
    <x v="3"/>
    <n v="9432.9253000000008"/>
  </r>
  <r>
    <n v="63"/>
    <s v="female"/>
    <n v="26.22"/>
    <n v="0"/>
    <x v="1"/>
    <x v="2"/>
    <n v="14256.192800000001"/>
  </r>
  <r>
    <n v="59"/>
    <s v="female"/>
    <n v="36.765000000000001"/>
    <n v="1"/>
    <x v="0"/>
    <x v="3"/>
    <n v="47896.79135"/>
  </r>
  <r>
    <n v="52"/>
    <s v="male"/>
    <n v="26.4"/>
    <n v="3"/>
    <x v="1"/>
    <x v="1"/>
    <n v="25992.821039999999"/>
  </r>
  <r>
    <n v="28"/>
    <s v="female"/>
    <n v="33.4"/>
    <n v="0"/>
    <x v="1"/>
    <x v="0"/>
    <n v="3172.018"/>
  </r>
  <r>
    <n v="29"/>
    <s v="male"/>
    <n v="29.64"/>
    <n v="1"/>
    <x v="1"/>
    <x v="3"/>
    <n v="20277.807509999999"/>
  </r>
  <r>
    <n v="25"/>
    <s v="male"/>
    <n v="45.54"/>
    <n v="2"/>
    <x v="0"/>
    <x v="1"/>
    <n v="42112.2356"/>
  </r>
  <r>
    <n v="22"/>
    <s v="female"/>
    <n v="28.82"/>
    <n v="0"/>
    <x v="1"/>
    <x v="1"/>
    <n v="2156.7518"/>
  </r>
  <r>
    <n v="25"/>
    <s v="male"/>
    <n v="26.8"/>
    <n v="3"/>
    <x v="1"/>
    <x v="0"/>
    <n v="3906.127"/>
  </r>
  <r>
    <n v="18"/>
    <s v="male"/>
    <n v="22.99"/>
    <n v="0"/>
    <x v="1"/>
    <x v="3"/>
    <n v="1704.5681"/>
  </r>
  <r>
    <n v="19"/>
    <s v="male"/>
    <n v="27.7"/>
    <n v="0"/>
    <x v="0"/>
    <x v="0"/>
    <n v="16297.846"/>
  </r>
  <r>
    <n v="47"/>
    <s v="male"/>
    <n v="25.41"/>
    <n v="1"/>
    <x v="0"/>
    <x v="1"/>
    <n v="21978.676899999999"/>
  </r>
  <r>
    <n v="31"/>
    <s v="male"/>
    <n v="34.39"/>
    <n v="3"/>
    <x v="0"/>
    <x v="2"/>
    <n v="38746.355100000001"/>
  </r>
  <r>
    <n v="48"/>
    <s v="female"/>
    <n v="28.88"/>
    <n v="1"/>
    <x v="1"/>
    <x v="2"/>
    <n v="9249.4951999999994"/>
  </r>
  <r>
    <n v="36"/>
    <s v="male"/>
    <n v="27.55"/>
    <n v="3"/>
    <x v="1"/>
    <x v="3"/>
    <n v="6746.7425000000003"/>
  </r>
  <r>
    <n v="53"/>
    <s v="female"/>
    <n v="22.61"/>
    <n v="3"/>
    <x v="0"/>
    <x v="3"/>
    <n v="24873.384900000001"/>
  </r>
  <r>
    <n v="56"/>
    <s v="female"/>
    <n v="37.51"/>
    <n v="2"/>
    <x v="1"/>
    <x v="1"/>
    <n v="12265.5069"/>
  </r>
  <r>
    <n v="28"/>
    <s v="female"/>
    <n v="33"/>
    <n v="2"/>
    <x v="1"/>
    <x v="1"/>
    <n v="4349.4620000000004"/>
  </r>
  <r>
    <n v="57"/>
    <s v="female"/>
    <n v="38"/>
    <n v="2"/>
    <x v="1"/>
    <x v="0"/>
    <n v="12646.207"/>
  </r>
  <r>
    <n v="29"/>
    <s v="male"/>
    <n v="33.344999999999999"/>
    <n v="2"/>
    <x v="1"/>
    <x v="2"/>
    <n v="19442.353500000001"/>
  </r>
  <r>
    <n v="28"/>
    <s v="female"/>
    <n v="27.5"/>
    <n v="2"/>
    <x v="1"/>
    <x v="0"/>
    <n v="20177.671129999999"/>
  </r>
  <r>
    <n v="30"/>
    <s v="female"/>
    <n v="33.33"/>
    <n v="1"/>
    <x v="1"/>
    <x v="1"/>
    <n v="4151.0286999999998"/>
  </r>
  <r>
    <n v="58"/>
    <s v="male"/>
    <n v="34.865000000000002"/>
    <n v="0"/>
    <x v="1"/>
    <x v="3"/>
    <n v="11944.594349999999"/>
  </r>
  <r>
    <n v="41"/>
    <s v="female"/>
    <n v="33.06"/>
    <n v="2"/>
    <x v="1"/>
    <x v="2"/>
    <n v="7749.1563999999998"/>
  </r>
  <r>
    <n v="50"/>
    <s v="male"/>
    <n v="26.6"/>
    <n v="0"/>
    <x v="1"/>
    <x v="0"/>
    <n v="8444.4740000000002"/>
  </r>
  <r>
    <n v="19"/>
    <s v="female"/>
    <n v="24.7"/>
    <n v="0"/>
    <x v="1"/>
    <x v="0"/>
    <n v="1737.376"/>
  </r>
  <r>
    <n v="43"/>
    <s v="male"/>
    <n v="35.97"/>
    <n v="3"/>
    <x v="0"/>
    <x v="1"/>
    <n v="42124.515299999999"/>
  </r>
  <r>
    <n v="49"/>
    <s v="male"/>
    <n v="35.86"/>
    <n v="0"/>
    <x v="1"/>
    <x v="1"/>
    <n v="8124.4084000000003"/>
  </r>
  <r>
    <n v="27"/>
    <s v="female"/>
    <n v="31.4"/>
    <n v="0"/>
    <x v="0"/>
    <x v="0"/>
    <n v="34838.873"/>
  </r>
  <r>
    <n v="52"/>
    <s v="male"/>
    <n v="33.25"/>
    <n v="0"/>
    <x v="1"/>
    <x v="3"/>
    <n v="9722.7695000000003"/>
  </r>
  <r>
    <n v="50"/>
    <s v="male"/>
    <n v="32.204999999999998"/>
    <n v="0"/>
    <x v="1"/>
    <x v="2"/>
    <n v="8835.2649500000007"/>
  </r>
  <r>
    <n v="54"/>
    <s v="male"/>
    <n v="32.774999999999999"/>
    <n v="0"/>
    <x v="1"/>
    <x v="3"/>
    <n v="10435.06525"/>
  </r>
  <r>
    <n v="44"/>
    <s v="female"/>
    <n v="27.645"/>
    <n v="0"/>
    <x v="1"/>
    <x v="2"/>
    <n v="7421.1945500000002"/>
  </r>
  <r>
    <n v="32"/>
    <s v="male"/>
    <n v="37.335000000000001"/>
    <n v="1"/>
    <x v="1"/>
    <x v="3"/>
    <n v="4667.6076499999999"/>
  </r>
  <r>
    <n v="34"/>
    <s v="male"/>
    <n v="25.27"/>
    <n v="1"/>
    <x v="1"/>
    <x v="2"/>
    <n v="4894.7533000000003"/>
  </r>
  <r>
    <n v="26"/>
    <s v="female"/>
    <n v="29.64"/>
    <n v="4"/>
    <x v="1"/>
    <x v="3"/>
    <n v="24671.663339999999"/>
  </r>
  <r>
    <n v="34"/>
    <s v="male"/>
    <n v="30.8"/>
    <n v="0"/>
    <x v="0"/>
    <x v="0"/>
    <n v="35491.64"/>
  </r>
  <r>
    <n v="57"/>
    <s v="male"/>
    <n v="40.945"/>
    <n v="0"/>
    <x v="1"/>
    <x v="3"/>
    <n v="11566.30055"/>
  </r>
  <r>
    <n v="29"/>
    <s v="male"/>
    <n v="27.2"/>
    <n v="0"/>
    <x v="1"/>
    <x v="0"/>
    <n v="2866.0909999999999"/>
  </r>
  <r>
    <n v="40"/>
    <s v="male"/>
    <n v="34.104999999999997"/>
    <n v="1"/>
    <x v="1"/>
    <x v="3"/>
    <n v="6600.2059499999996"/>
  </r>
  <r>
    <n v="27"/>
    <s v="female"/>
    <n v="23.21"/>
    <n v="1"/>
    <x v="1"/>
    <x v="1"/>
    <n v="3561.8888999999999"/>
  </r>
  <r>
    <n v="45"/>
    <s v="male"/>
    <n v="36.479999999999997"/>
    <n v="2"/>
    <x v="0"/>
    <x v="2"/>
    <n v="42760.502200000003"/>
  </r>
  <r>
    <n v="64"/>
    <s v="female"/>
    <n v="33.799999999999997"/>
    <n v="1"/>
    <x v="0"/>
    <x v="0"/>
    <n v="47928.03"/>
  </r>
  <r>
    <n v="52"/>
    <s v="male"/>
    <n v="36.700000000000003"/>
    <n v="0"/>
    <x v="1"/>
    <x v="0"/>
    <n v="9144.5650000000005"/>
  </r>
  <r>
    <n v="61"/>
    <s v="female"/>
    <n v="36.384999999999998"/>
    <n v="1"/>
    <x v="0"/>
    <x v="3"/>
    <n v="48517.563150000002"/>
  </r>
  <r>
    <n v="52"/>
    <s v="male"/>
    <n v="27.36"/>
    <n v="0"/>
    <x v="0"/>
    <x v="2"/>
    <n v="24393.6224"/>
  </r>
  <r>
    <n v="61"/>
    <s v="female"/>
    <n v="31.16"/>
    <n v="0"/>
    <x v="1"/>
    <x v="2"/>
    <n v="13429.035400000001"/>
  </r>
  <r>
    <n v="56"/>
    <s v="female"/>
    <n v="28.785"/>
    <n v="0"/>
    <x v="1"/>
    <x v="3"/>
    <n v="11658.379150000001"/>
  </r>
  <r>
    <n v="43"/>
    <s v="female"/>
    <n v="35.72"/>
    <n v="2"/>
    <x v="1"/>
    <x v="3"/>
    <n v="19144.576519999999"/>
  </r>
  <r>
    <n v="64"/>
    <s v="male"/>
    <n v="34.5"/>
    <n v="0"/>
    <x v="1"/>
    <x v="0"/>
    <n v="13822.803"/>
  </r>
  <r>
    <n v="60"/>
    <s v="male"/>
    <n v="25.74"/>
    <n v="0"/>
    <x v="1"/>
    <x v="1"/>
    <n v="12142.578600000001"/>
  </r>
  <r>
    <n v="62"/>
    <s v="male"/>
    <n v="27.55"/>
    <n v="1"/>
    <x v="1"/>
    <x v="2"/>
    <n v="13937.666499999999"/>
  </r>
  <r>
    <n v="50"/>
    <s v="male"/>
    <n v="32.299999999999997"/>
    <n v="1"/>
    <x v="0"/>
    <x v="3"/>
    <n v="41919.097000000002"/>
  </r>
  <r>
    <n v="46"/>
    <s v="female"/>
    <n v="27.72"/>
    <n v="1"/>
    <x v="1"/>
    <x v="1"/>
    <n v="8232.6388000000006"/>
  </r>
  <r>
    <n v="24"/>
    <s v="female"/>
    <n v="27.6"/>
    <n v="0"/>
    <x v="1"/>
    <x v="0"/>
    <n v="18955.220170000001"/>
  </r>
  <r>
    <n v="62"/>
    <s v="male"/>
    <n v="30.02"/>
    <n v="0"/>
    <x v="1"/>
    <x v="2"/>
    <n v="13352.0998"/>
  </r>
  <r>
    <n v="60"/>
    <s v="female"/>
    <n v="27.55"/>
    <n v="0"/>
    <x v="1"/>
    <x v="3"/>
    <n v="13217.094499999999"/>
  </r>
  <r>
    <n v="63"/>
    <s v="male"/>
    <n v="36.765000000000001"/>
    <n v="0"/>
    <x v="1"/>
    <x v="3"/>
    <n v="13981.850350000001"/>
  </r>
  <r>
    <n v="49"/>
    <s v="female"/>
    <n v="41.47"/>
    <n v="4"/>
    <x v="1"/>
    <x v="1"/>
    <n v="10977.2063"/>
  </r>
  <r>
    <n v="34"/>
    <s v="female"/>
    <n v="29.26"/>
    <n v="3"/>
    <x v="1"/>
    <x v="1"/>
    <n v="6184.2993999999999"/>
  </r>
  <r>
    <n v="33"/>
    <s v="male"/>
    <n v="35.75"/>
    <n v="2"/>
    <x v="1"/>
    <x v="1"/>
    <n v="4889.9994999999999"/>
  </r>
  <r>
    <n v="46"/>
    <s v="male"/>
    <n v="33.344999999999999"/>
    <n v="1"/>
    <x v="1"/>
    <x v="3"/>
    <n v="8334.4575499999992"/>
  </r>
  <r>
    <n v="36"/>
    <s v="female"/>
    <n v="29.92"/>
    <n v="1"/>
    <x v="1"/>
    <x v="1"/>
    <n v="5478.0367999999999"/>
  </r>
  <r>
    <n v="19"/>
    <s v="male"/>
    <n v="27.835000000000001"/>
    <n v="0"/>
    <x v="1"/>
    <x v="2"/>
    <n v="1635.7336499999999"/>
  </r>
  <r>
    <n v="57"/>
    <s v="female"/>
    <n v="23.18"/>
    <n v="0"/>
    <x v="1"/>
    <x v="2"/>
    <n v="11830.6072"/>
  </r>
  <r>
    <n v="50"/>
    <s v="female"/>
    <n v="25.6"/>
    <n v="0"/>
    <x v="1"/>
    <x v="0"/>
    <n v="8932.0840000000007"/>
  </r>
  <r>
    <n v="30"/>
    <s v="female"/>
    <n v="27.7"/>
    <n v="0"/>
    <x v="1"/>
    <x v="0"/>
    <n v="3554.203"/>
  </r>
  <r>
    <n v="33"/>
    <s v="male"/>
    <n v="35.244999999999997"/>
    <n v="0"/>
    <x v="1"/>
    <x v="3"/>
    <n v="12404.8791"/>
  </r>
  <r>
    <n v="18"/>
    <s v="female"/>
    <n v="38.28"/>
    <n v="0"/>
    <x v="1"/>
    <x v="1"/>
    <n v="14133.03775"/>
  </r>
  <r>
    <n v="46"/>
    <s v="male"/>
    <n v="27.6"/>
    <n v="0"/>
    <x v="1"/>
    <x v="0"/>
    <n v="24603.04837"/>
  </r>
  <r>
    <n v="46"/>
    <s v="male"/>
    <n v="43.89"/>
    <n v="3"/>
    <x v="1"/>
    <x v="1"/>
    <n v="8944.1151000000009"/>
  </r>
  <r>
    <n v="47"/>
    <s v="male"/>
    <n v="29.83"/>
    <n v="3"/>
    <x v="1"/>
    <x v="2"/>
    <n v="9620.3307000000004"/>
  </r>
  <r>
    <n v="23"/>
    <s v="male"/>
    <n v="41.91"/>
    <n v="0"/>
    <x v="1"/>
    <x v="1"/>
    <n v="1837.2819"/>
  </r>
  <r>
    <n v="18"/>
    <s v="female"/>
    <n v="20.79"/>
    <n v="0"/>
    <x v="1"/>
    <x v="1"/>
    <n v="1607.5101"/>
  </r>
  <r>
    <n v="48"/>
    <s v="female"/>
    <n v="32.299999999999997"/>
    <n v="2"/>
    <x v="1"/>
    <x v="3"/>
    <n v="10043.249"/>
  </r>
  <r>
    <n v="35"/>
    <s v="male"/>
    <n v="30.5"/>
    <n v="1"/>
    <x v="1"/>
    <x v="0"/>
    <n v="4751.07"/>
  </r>
  <r>
    <n v="19"/>
    <s v="female"/>
    <n v="21.7"/>
    <n v="0"/>
    <x v="0"/>
    <x v="0"/>
    <n v="13844.505999999999"/>
  </r>
  <r>
    <n v="21"/>
    <s v="female"/>
    <n v="26.4"/>
    <n v="1"/>
    <x v="1"/>
    <x v="0"/>
    <n v="2597.779"/>
  </r>
  <r>
    <n v="21"/>
    <s v="female"/>
    <n v="21.89"/>
    <n v="2"/>
    <x v="1"/>
    <x v="1"/>
    <n v="3180.5101"/>
  </r>
  <r>
    <n v="49"/>
    <s v="female"/>
    <n v="30.78"/>
    <n v="1"/>
    <x v="1"/>
    <x v="3"/>
    <n v="9778.3472000000002"/>
  </r>
  <r>
    <n v="56"/>
    <s v="female"/>
    <n v="32.299999999999997"/>
    <n v="3"/>
    <x v="1"/>
    <x v="3"/>
    <n v="13430.264999999999"/>
  </r>
  <r>
    <n v="42"/>
    <s v="female"/>
    <n v="24.984999999999999"/>
    <n v="2"/>
    <x v="1"/>
    <x v="2"/>
    <n v="8017.0611500000005"/>
  </r>
  <r>
    <n v="44"/>
    <s v="male"/>
    <n v="32.015000000000001"/>
    <n v="2"/>
    <x v="1"/>
    <x v="2"/>
    <n v="8116.2688500000004"/>
  </r>
  <r>
    <n v="18"/>
    <s v="male"/>
    <n v="30.4"/>
    <n v="3"/>
    <x v="1"/>
    <x v="3"/>
    <n v="3481.8679999999999"/>
  </r>
  <r>
    <n v="61"/>
    <s v="female"/>
    <n v="21.09"/>
    <n v="0"/>
    <x v="1"/>
    <x v="2"/>
    <n v="13415.0381"/>
  </r>
  <r>
    <n v="57"/>
    <s v="female"/>
    <n v="22.23"/>
    <n v="0"/>
    <x v="1"/>
    <x v="3"/>
    <n v="12029.286700000001"/>
  </r>
  <r>
    <n v="42"/>
    <s v="female"/>
    <n v="33.155000000000001"/>
    <n v="1"/>
    <x v="1"/>
    <x v="3"/>
    <n v="7639.4174499999999"/>
  </r>
  <r>
    <n v="26"/>
    <s v="male"/>
    <n v="32.9"/>
    <n v="2"/>
    <x v="0"/>
    <x v="0"/>
    <n v="36085.218999999997"/>
  </r>
  <r>
    <n v="20"/>
    <s v="male"/>
    <n v="33.33"/>
    <n v="0"/>
    <x v="1"/>
    <x v="1"/>
    <n v="1391.5287000000001"/>
  </r>
  <r>
    <n v="23"/>
    <s v="female"/>
    <n v="28.31"/>
    <n v="0"/>
    <x v="0"/>
    <x v="2"/>
    <n v="18033.9679"/>
  </r>
  <r>
    <n v="39"/>
    <s v="female"/>
    <n v="24.89"/>
    <n v="3"/>
    <x v="0"/>
    <x v="3"/>
    <n v="21659.930100000001"/>
  </r>
  <r>
    <n v="24"/>
    <s v="male"/>
    <n v="40.15"/>
    <n v="0"/>
    <x v="0"/>
    <x v="1"/>
    <n v="38126.246500000001"/>
  </r>
  <r>
    <n v="64"/>
    <s v="female"/>
    <n v="30.114999999999998"/>
    <n v="3"/>
    <x v="1"/>
    <x v="2"/>
    <n v="16455.707849999999"/>
  </r>
  <r>
    <n v="62"/>
    <s v="male"/>
    <n v="31.46"/>
    <n v="1"/>
    <x v="1"/>
    <x v="1"/>
    <n v="27000.98473"/>
  </r>
  <r>
    <n v="27"/>
    <s v="female"/>
    <n v="17.954999999999998"/>
    <n v="2"/>
    <x v="0"/>
    <x v="3"/>
    <n v="15006.579449999999"/>
  </r>
  <r>
    <n v="55"/>
    <s v="male"/>
    <n v="30.684999999999999"/>
    <n v="0"/>
    <x v="0"/>
    <x v="3"/>
    <n v="42303.692150000003"/>
  </r>
  <r>
    <n v="55"/>
    <s v="male"/>
    <n v="33"/>
    <n v="0"/>
    <x v="1"/>
    <x v="1"/>
    <n v="20781.48892"/>
  </r>
  <r>
    <n v="35"/>
    <s v="female"/>
    <n v="43.34"/>
    <n v="2"/>
    <x v="1"/>
    <x v="1"/>
    <n v="5846.9175999999998"/>
  </r>
  <r>
    <n v="44"/>
    <s v="male"/>
    <n v="22.135000000000002"/>
    <n v="2"/>
    <x v="1"/>
    <x v="3"/>
    <n v="8302.5356499999998"/>
  </r>
  <r>
    <n v="19"/>
    <s v="male"/>
    <n v="34.4"/>
    <n v="0"/>
    <x v="1"/>
    <x v="0"/>
    <n v="1261.8589999999999"/>
  </r>
  <r>
    <n v="58"/>
    <s v="female"/>
    <n v="39.049999999999997"/>
    <n v="0"/>
    <x v="1"/>
    <x v="1"/>
    <n v="11856.4115"/>
  </r>
  <r>
    <n v="50"/>
    <s v="male"/>
    <n v="25.364999999999998"/>
    <n v="2"/>
    <x v="1"/>
    <x v="2"/>
    <n v="30284.642940000002"/>
  </r>
  <r>
    <n v="26"/>
    <s v="female"/>
    <n v="22.61"/>
    <n v="0"/>
    <x v="1"/>
    <x v="2"/>
    <n v="3176.8159000000001"/>
  </r>
  <r>
    <n v="24"/>
    <s v="female"/>
    <n v="30.21"/>
    <n v="3"/>
    <x v="1"/>
    <x v="2"/>
    <n v="4618.0798999999997"/>
  </r>
  <r>
    <n v="48"/>
    <s v="male"/>
    <n v="35.625"/>
    <n v="4"/>
    <x v="1"/>
    <x v="3"/>
    <n v="10736.87075"/>
  </r>
  <r>
    <n v="19"/>
    <s v="female"/>
    <n v="37.43"/>
    <n v="0"/>
    <x v="1"/>
    <x v="2"/>
    <n v="2138.0707000000002"/>
  </r>
  <r>
    <n v="48"/>
    <s v="male"/>
    <n v="31.445"/>
    <n v="1"/>
    <x v="1"/>
    <x v="3"/>
    <n v="8964.0605500000001"/>
  </r>
  <r>
    <n v="49"/>
    <s v="male"/>
    <n v="31.35"/>
    <n v="1"/>
    <x v="1"/>
    <x v="3"/>
    <n v="9290.1394999999993"/>
  </r>
  <r>
    <n v="46"/>
    <s v="female"/>
    <n v="32.299999999999997"/>
    <n v="2"/>
    <x v="1"/>
    <x v="3"/>
    <n v="9411.0049999999992"/>
  </r>
  <r>
    <n v="46"/>
    <s v="male"/>
    <n v="19.855"/>
    <n v="0"/>
    <x v="1"/>
    <x v="2"/>
    <n v="7526.7064499999997"/>
  </r>
  <r>
    <n v="43"/>
    <s v="female"/>
    <n v="34.4"/>
    <n v="3"/>
    <x v="1"/>
    <x v="0"/>
    <n v="8522.0030000000006"/>
  </r>
  <r>
    <n v="21"/>
    <s v="male"/>
    <n v="31.02"/>
    <n v="0"/>
    <x v="1"/>
    <x v="1"/>
    <n v="16586.49771"/>
  </r>
  <r>
    <n v="64"/>
    <s v="male"/>
    <n v="25.6"/>
    <n v="2"/>
    <x v="1"/>
    <x v="0"/>
    <n v="14988.432000000001"/>
  </r>
  <r>
    <n v="18"/>
    <s v="female"/>
    <n v="38.17"/>
    <n v="0"/>
    <x v="1"/>
    <x v="1"/>
    <n v="1631.6683"/>
  </r>
  <r>
    <n v="51"/>
    <s v="female"/>
    <n v="20.6"/>
    <n v="0"/>
    <x v="1"/>
    <x v="0"/>
    <n v="9264.7970000000005"/>
  </r>
  <r>
    <n v="47"/>
    <s v="male"/>
    <n v="47.52"/>
    <n v="1"/>
    <x v="1"/>
    <x v="1"/>
    <n v="8083.9197999999997"/>
  </r>
  <r>
    <n v="64"/>
    <s v="female"/>
    <n v="32.965000000000003"/>
    <n v="0"/>
    <x v="1"/>
    <x v="2"/>
    <n v="14692.66935"/>
  </r>
  <r>
    <n v="49"/>
    <s v="male"/>
    <n v="32.299999999999997"/>
    <n v="3"/>
    <x v="1"/>
    <x v="2"/>
    <n v="10269.459999999999"/>
  </r>
  <r>
    <n v="31"/>
    <s v="male"/>
    <n v="20.399999999999999"/>
    <n v="0"/>
    <x v="1"/>
    <x v="0"/>
    <n v="3260.1990000000001"/>
  </r>
  <r>
    <n v="52"/>
    <s v="female"/>
    <n v="38.380000000000003"/>
    <n v="2"/>
    <x v="1"/>
    <x v="3"/>
    <n v="11396.9002"/>
  </r>
  <r>
    <n v="33"/>
    <s v="female"/>
    <n v="24.31"/>
    <n v="0"/>
    <x v="1"/>
    <x v="1"/>
    <n v="4185.0978999999998"/>
  </r>
  <r>
    <n v="47"/>
    <s v="female"/>
    <n v="23.6"/>
    <n v="1"/>
    <x v="1"/>
    <x v="0"/>
    <n v="8539.6710000000003"/>
  </r>
  <r>
    <n v="38"/>
    <s v="male"/>
    <n v="21.12"/>
    <n v="3"/>
    <x v="1"/>
    <x v="1"/>
    <n v="6652.5288"/>
  </r>
  <r>
    <n v="32"/>
    <s v="male"/>
    <n v="30.03"/>
    <n v="1"/>
    <x v="1"/>
    <x v="1"/>
    <n v="4074.4537"/>
  </r>
  <r>
    <n v="19"/>
    <s v="male"/>
    <n v="17.48"/>
    <n v="0"/>
    <x v="1"/>
    <x v="2"/>
    <n v="1621.3402000000001"/>
  </r>
  <r>
    <n v="44"/>
    <s v="female"/>
    <n v="20.234999999999999"/>
    <n v="1"/>
    <x v="0"/>
    <x v="3"/>
    <n v="19594.809649999999"/>
  </r>
  <r>
    <n v="26"/>
    <s v="female"/>
    <n v="17.195"/>
    <n v="2"/>
    <x v="0"/>
    <x v="3"/>
    <n v="14455.644050000001"/>
  </r>
  <r>
    <n v="25"/>
    <s v="male"/>
    <n v="23.9"/>
    <n v="5"/>
    <x v="1"/>
    <x v="0"/>
    <n v="5080.0959999999995"/>
  </r>
  <r>
    <n v="19"/>
    <s v="female"/>
    <n v="35.15"/>
    <n v="0"/>
    <x v="1"/>
    <x v="2"/>
    <n v="2134.9014999999999"/>
  </r>
  <r>
    <n v="43"/>
    <s v="female"/>
    <n v="35.64"/>
    <n v="1"/>
    <x v="1"/>
    <x v="1"/>
    <n v="7345.7266"/>
  </r>
  <r>
    <n v="52"/>
    <s v="male"/>
    <n v="34.1"/>
    <n v="0"/>
    <x v="1"/>
    <x v="1"/>
    <n v="9140.9509999999991"/>
  </r>
  <r>
    <n v="36"/>
    <s v="female"/>
    <n v="22.6"/>
    <n v="2"/>
    <x v="0"/>
    <x v="0"/>
    <n v="18608.261999999999"/>
  </r>
  <r>
    <n v="64"/>
    <s v="male"/>
    <n v="39.159999999999997"/>
    <n v="1"/>
    <x v="1"/>
    <x v="1"/>
    <n v="14418.2804"/>
  </r>
  <r>
    <n v="63"/>
    <s v="female"/>
    <n v="26.98"/>
    <n v="0"/>
    <x v="0"/>
    <x v="2"/>
    <n v="28950.4692"/>
  </r>
  <r>
    <n v="64"/>
    <s v="male"/>
    <n v="33.880000000000003"/>
    <n v="0"/>
    <x v="0"/>
    <x v="1"/>
    <n v="46889.261200000001"/>
  </r>
  <r>
    <n v="61"/>
    <s v="male"/>
    <n v="35.86"/>
    <n v="0"/>
    <x v="0"/>
    <x v="1"/>
    <n v="46599.108399999997"/>
  </r>
  <r>
    <n v="40"/>
    <s v="male"/>
    <n v="32.774999999999999"/>
    <n v="1"/>
    <x v="0"/>
    <x v="3"/>
    <n v="39125.332249999999"/>
  </r>
  <r>
    <n v="25"/>
    <s v="male"/>
    <n v="30.59"/>
    <n v="0"/>
    <x v="1"/>
    <x v="3"/>
    <n v="2727.3951000000002"/>
  </r>
  <r>
    <n v="48"/>
    <s v="male"/>
    <n v="30.2"/>
    <n v="2"/>
    <x v="1"/>
    <x v="0"/>
    <n v="8968.33"/>
  </r>
  <r>
    <n v="45"/>
    <s v="male"/>
    <n v="24.31"/>
    <n v="5"/>
    <x v="1"/>
    <x v="1"/>
    <n v="9788.8659000000007"/>
  </r>
  <r>
    <n v="38"/>
    <s v="female"/>
    <n v="27.265000000000001"/>
    <n v="1"/>
    <x v="1"/>
    <x v="3"/>
    <n v="6555.07035"/>
  </r>
  <r>
    <n v="18"/>
    <s v="female"/>
    <n v="29.164999999999999"/>
    <n v="0"/>
    <x v="1"/>
    <x v="3"/>
    <n v="7323.7348190000002"/>
  </r>
  <r>
    <n v="21"/>
    <s v="female"/>
    <n v="16.815000000000001"/>
    <n v="1"/>
    <x v="1"/>
    <x v="3"/>
    <n v="3167.4558499999998"/>
  </r>
  <r>
    <n v="27"/>
    <s v="female"/>
    <n v="30.4"/>
    <n v="3"/>
    <x v="1"/>
    <x v="2"/>
    <n v="18804.752400000001"/>
  </r>
  <r>
    <n v="19"/>
    <s v="male"/>
    <n v="33.1"/>
    <n v="0"/>
    <x v="1"/>
    <x v="0"/>
    <n v="23082.955330000001"/>
  </r>
  <r>
    <n v="29"/>
    <s v="female"/>
    <n v="20.234999999999999"/>
    <n v="2"/>
    <x v="1"/>
    <x v="2"/>
    <n v="4906.4096499999996"/>
  </r>
  <r>
    <n v="42"/>
    <s v="male"/>
    <n v="26.9"/>
    <n v="0"/>
    <x v="1"/>
    <x v="0"/>
    <n v="5969.723"/>
  </r>
  <r>
    <n v="60"/>
    <s v="female"/>
    <n v="30.5"/>
    <n v="0"/>
    <x v="1"/>
    <x v="0"/>
    <n v="12638.195"/>
  </r>
  <r>
    <n v="31"/>
    <s v="male"/>
    <n v="28.594999999999999"/>
    <n v="1"/>
    <x v="1"/>
    <x v="2"/>
    <n v="4243.5900499999998"/>
  </r>
  <r>
    <n v="60"/>
    <s v="male"/>
    <n v="33.11"/>
    <n v="3"/>
    <x v="1"/>
    <x v="1"/>
    <n v="13919.822899999999"/>
  </r>
  <r>
    <n v="22"/>
    <s v="male"/>
    <n v="31.73"/>
    <n v="0"/>
    <x v="1"/>
    <x v="3"/>
    <n v="2254.7966999999999"/>
  </r>
  <r>
    <n v="35"/>
    <s v="male"/>
    <n v="28.9"/>
    <n v="3"/>
    <x v="1"/>
    <x v="0"/>
    <n v="5926.8459999999995"/>
  </r>
  <r>
    <n v="52"/>
    <s v="female"/>
    <n v="46.75"/>
    <n v="5"/>
    <x v="1"/>
    <x v="1"/>
    <n v="12592.5345"/>
  </r>
  <r>
    <n v="26"/>
    <s v="male"/>
    <n v="29.45"/>
    <n v="0"/>
    <x v="1"/>
    <x v="3"/>
    <n v="2897.3235"/>
  </r>
  <r>
    <n v="31"/>
    <s v="female"/>
    <n v="32.68"/>
    <n v="1"/>
    <x v="1"/>
    <x v="2"/>
    <n v="4738.2682000000004"/>
  </r>
  <r>
    <n v="33"/>
    <s v="female"/>
    <n v="33.5"/>
    <n v="0"/>
    <x v="0"/>
    <x v="0"/>
    <n v="37079.372000000003"/>
  </r>
  <r>
    <n v="18"/>
    <s v="male"/>
    <n v="43.01"/>
    <n v="0"/>
    <x v="1"/>
    <x v="1"/>
    <n v="1149.3959"/>
  </r>
  <r>
    <n v="59"/>
    <s v="female"/>
    <n v="36.520000000000003"/>
    <n v="1"/>
    <x v="1"/>
    <x v="1"/>
    <n v="28287.897659999999"/>
  </r>
  <r>
    <n v="56"/>
    <s v="male"/>
    <n v="26.695"/>
    <n v="1"/>
    <x v="0"/>
    <x v="2"/>
    <n v="26109.32905"/>
  </r>
  <r>
    <n v="45"/>
    <s v="female"/>
    <n v="33.1"/>
    <n v="0"/>
    <x v="1"/>
    <x v="0"/>
    <n v="7345.0839999999998"/>
  </r>
  <r>
    <n v="60"/>
    <s v="male"/>
    <n v="29.64"/>
    <n v="0"/>
    <x v="1"/>
    <x v="3"/>
    <n v="12730.999599999999"/>
  </r>
  <r>
    <n v="56"/>
    <s v="female"/>
    <n v="25.65"/>
    <n v="0"/>
    <x v="1"/>
    <x v="2"/>
    <n v="11454.021500000001"/>
  </r>
  <r>
    <n v="40"/>
    <s v="female"/>
    <n v="29.6"/>
    <n v="0"/>
    <x v="1"/>
    <x v="0"/>
    <n v="5910.9440000000004"/>
  </r>
  <r>
    <n v="35"/>
    <s v="male"/>
    <n v="38.6"/>
    <n v="1"/>
    <x v="1"/>
    <x v="0"/>
    <n v="4762.3289999999997"/>
  </r>
  <r>
    <n v="39"/>
    <s v="male"/>
    <n v="29.6"/>
    <n v="4"/>
    <x v="1"/>
    <x v="0"/>
    <n v="7512.2669999999998"/>
  </r>
  <r>
    <n v="30"/>
    <s v="male"/>
    <n v="24.13"/>
    <n v="1"/>
    <x v="1"/>
    <x v="2"/>
    <n v="4032.2406999999998"/>
  </r>
  <r>
    <n v="24"/>
    <s v="male"/>
    <n v="23.4"/>
    <n v="0"/>
    <x v="1"/>
    <x v="0"/>
    <n v="1969.614"/>
  </r>
  <r>
    <n v="20"/>
    <s v="male"/>
    <n v="29.734999999999999"/>
    <n v="0"/>
    <x v="1"/>
    <x v="2"/>
    <n v="1769.5316499999999"/>
  </r>
  <r>
    <n v="32"/>
    <s v="male"/>
    <n v="46.53"/>
    <n v="2"/>
    <x v="1"/>
    <x v="1"/>
    <n v="4686.3887000000004"/>
  </r>
  <r>
    <n v="59"/>
    <s v="male"/>
    <n v="37.4"/>
    <n v="0"/>
    <x v="1"/>
    <x v="0"/>
    <n v="21797.000400000001"/>
  </r>
  <r>
    <n v="55"/>
    <s v="female"/>
    <n v="30.14"/>
    <n v="2"/>
    <x v="1"/>
    <x v="1"/>
    <n v="11881.9696"/>
  </r>
  <r>
    <n v="57"/>
    <s v="female"/>
    <n v="30.495000000000001"/>
    <n v="0"/>
    <x v="1"/>
    <x v="2"/>
    <n v="11840.77505"/>
  </r>
  <r>
    <n v="56"/>
    <s v="male"/>
    <n v="39.6"/>
    <n v="0"/>
    <x v="1"/>
    <x v="0"/>
    <n v="10601.412"/>
  </r>
  <r>
    <n v="40"/>
    <s v="female"/>
    <n v="33"/>
    <n v="3"/>
    <x v="1"/>
    <x v="1"/>
    <n v="7682.67"/>
  </r>
  <r>
    <n v="49"/>
    <s v="female"/>
    <n v="36.630000000000003"/>
    <n v="3"/>
    <x v="1"/>
    <x v="1"/>
    <n v="10381.4787"/>
  </r>
  <r>
    <n v="42"/>
    <s v="male"/>
    <n v="30"/>
    <n v="0"/>
    <x v="0"/>
    <x v="0"/>
    <n v="22144.031999999999"/>
  </r>
  <r>
    <n v="62"/>
    <s v="female"/>
    <n v="38.094999999999999"/>
    <n v="2"/>
    <x v="1"/>
    <x v="3"/>
    <n v="15230.324049999999"/>
  </r>
  <r>
    <n v="56"/>
    <s v="male"/>
    <n v="25.934999999999999"/>
    <n v="0"/>
    <x v="1"/>
    <x v="3"/>
    <n v="11165.417649999999"/>
  </r>
  <r>
    <n v="19"/>
    <s v="male"/>
    <n v="25.175000000000001"/>
    <n v="0"/>
    <x v="1"/>
    <x v="2"/>
    <n v="1632.0362500000001"/>
  </r>
  <r>
    <n v="30"/>
    <s v="female"/>
    <n v="28.38"/>
    <n v="1"/>
    <x v="0"/>
    <x v="1"/>
    <n v="19521.968199999999"/>
  </r>
  <r>
    <n v="60"/>
    <s v="female"/>
    <n v="28.7"/>
    <n v="1"/>
    <x v="1"/>
    <x v="0"/>
    <n v="13224.692999999999"/>
  </r>
  <r>
    <n v="56"/>
    <s v="female"/>
    <n v="33.82"/>
    <n v="2"/>
    <x v="1"/>
    <x v="2"/>
    <n v="12643.3778"/>
  </r>
  <r>
    <n v="28"/>
    <s v="female"/>
    <n v="24.32"/>
    <n v="1"/>
    <x v="1"/>
    <x v="3"/>
    <n v="23288.928400000001"/>
  </r>
  <r>
    <n v="18"/>
    <s v="female"/>
    <n v="24.09"/>
    <n v="1"/>
    <x v="1"/>
    <x v="1"/>
    <n v="2201.0971"/>
  </r>
  <r>
    <n v="27"/>
    <s v="male"/>
    <n v="32.67"/>
    <n v="0"/>
    <x v="1"/>
    <x v="1"/>
    <n v="2497.0383000000002"/>
  </r>
  <r>
    <n v="18"/>
    <s v="female"/>
    <n v="30.114999999999998"/>
    <n v="0"/>
    <x v="1"/>
    <x v="3"/>
    <n v="2203.4718499999999"/>
  </r>
  <r>
    <n v="19"/>
    <s v="female"/>
    <n v="29.8"/>
    <n v="0"/>
    <x v="1"/>
    <x v="0"/>
    <n v="1744.4649999999999"/>
  </r>
  <r>
    <n v="47"/>
    <s v="female"/>
    <n v="33.344999999999999"/>
    <n v="0"/>
    <x v="1"/>
    <x v="3"/>
    <n v="20878.78443"/>
  </r>
  <r>
    <n v="54"/>
    <s v="male"/>
    <n v="25.1"/>
    <n v="3"/>
    <x v="0"/>
    <x v="0"/>
    <n v="25382.296999999999"/>
  </r>
  <r>
    <n v="61"/>
    <s v="male"/>
    <n v="28.31"/>
    <n v="1"/>
    <x v="0"/>
    <x v="2"/>
    <n v="28868.6639"/>
  </r>
  <r>
    <n v="24"/>
    <s v="male"/>
    <n v="28.5"/>
    <n v="0"/>
    <x v="0"/>
    <x v="3"/>
    <n v="35147.528480000001"/>
  </r>
  <r>
    <n v="25"/>
    <s v="male"/>
    <n v="35.625"/>
    <n v="0"/>
    <x v="1"/>
    <x v="2"/>
    <n v="2534.3937500000002"/>
  </r>
  <r>
    <n v="21"/>
    <s v="male"/>
    <n v="36.85"/>
    <n v="0"/>
    <x v="1"/>
    <x v="1"/>
    <n v="1534.3045"/>
  </r>
  <r>
    <n v="23"/>
    <s v="male"/>
    <n v="32.56"/>
    <n v="0"/>
    <x v="1"/>
    <x v="1"/>
    <n v="1824.2854"/>
  </r>
  <r>
    <n v="63"/>
    <s v="male"/>
    <n v="41.325000000000003"/>
    <n v="3"/>
    <x v="1"/>
    <x v="2"/>
    <n v="15555.188749999999"/>
  </r>
  <r>
    <n v="49"/>
    <s v="male"/>
    <n v="37.51"/>
    <n v="2"/>
    <x v="1"/>
    <x v="1"/>
    <n v="9304.7019"/>
  </r>
  <r>
    <n v="18"/>
    <s v="female"/>
    <n v="31.35"/>
    <n v="0"/>
    <x v="1"/>
    <x v="1"/>
    <n v="1622.1885"/>
  </r>
  <r>
    <n v="51"/>
    <s v="female"/>
    <n v="39.5"/>
    <n v="1"/>
    <x v="1"/>
    <x v="0"/>
    <n v="9880.0679999999993"/>
  </r>
  <r>
    <n v="48"/>
    <s v="male"/>
    <n v="34.299999999999997"/>
    <n v="3"/>
    <x v="1"/>
    <x v="0"/>
    <n v="9563.0290000000005"/>
  </r>
  <r>
    <n v="31"/>
    <s v="female"/>
    <n v="31.065000000000001"/>
    <n v="0"/>
    <x v="1"/>
    <x v="3"/>
    <n v="4347.0233500000004"/>
  </r>
  <r>
    <n v="54"/>
    <s v="female"/>
    <n v="21.47"/>
    <n v="3"/>
    <x v="1"/>
    <x v="2"/>
    <n v="12475.3513"/>
  </r>
  <r>
    <n v="19"/>
    <s v="male"/>
    <n v="28.7"/>
    <n v="0"/>
    <x v="1"/>
    <x v="0"/>
    <n v="1253.9359999999999"/>
  </r>
  <r>
    <n v="44"/>
    <s v="female"/>
    <n v="38.06"/>
    <n v="0"/>
    <x v="0"/>
    <x v="1"/>
    <n v="48885.135609999998"/>
  </r>
  <r>
    <n v="53"/>
    <s v="male"/>
    <n v="31.16"/>
    <n v="1"/>
    <x v="1"/>
    <x v="2"/>
    <n v="10461.9794"/>
  </r>
  <r>
    <n v="19"/>
    <s v="female"/>
    <n v="32.9"/>
    <n v="0"/>
    <x v="1"/>
    <x v="0"/>
    <n v="1748.7739999999999"/>
  </r>
  <r>
    <n v="61"/>
    <s v="female"/>
    <n v="25.08"/>
    <n v="0"/>
    <x v="1"/>
    <x v="1"/>
    <n v="24513.091260000001"/>
  </r>
  <r>
    <n v="18"/>
    <s v="female"/>
    <n v="25.08"/>
    <n v="0"/>
    <x v="1"/>
    <x v="3"/>
    <n v="2196.4731999999999"/>
  </r>
  <r>
    <n v="61"/>
    <s v="male"/>
    <n v="43.4"/>
    <n v="0"/>
    <x v="1"/>
    <x v="0"/>
    <n v="12574.049000000001"/>
  </r>
  <r>
    <n v="21"/>
    <s v="male"/>
    <n v="25.7"/>
    <n v="4"/>
    <x v="0"/>
    <x v="0"/>
    <n v="17942.106"/>
  </r>
  <r>
    <n v="20"/>
    <s v="male"/>
    <n v="27.93"/>
    <n v="0"/>
    <x v="1"/>
    <x v="3"/>
    <n v="1967.0227"/>
  </r>
  <r>
    <n v="31"/>
    <s v="female"/>
    <n v="23.6"/>
    <n v="2"/>
    <x v="1"/>
    <x v="0"/>
    <n v="4931.6469999999999"/>
  </r>
  <r>
    <n v="45"/>
    <s v="male"/>
    <n v="28.7"/>
    <n v="2"/>
    <x v="1"/>
    <x v="0"/>
    <n v="8027.9679999999998"/>
  </r>
  <r>
    <n v="44"/>
    <s v="female"/>
    <n v="23.98"/>
    <n v="2"/>
    <x v="1"/>
    <x v="1"/>
    <n v="8211.1002000000008"/>
  </r>
  <r>
    <n v="62"/>
    <s v="female"/>
    <n v="39.200000000000003"/>
    <n v="0"/>
    <x v="1"/>
    <x v="0"/>
    <n v="13470.86"/>
  </r>
  <r>
    <n v="29"/>
    <s v="male"/>
    <n v="34.4"/>
    <n v="0"/>
    <x v="0"/>
    <x v="0"/>
    <n v="36197.699000000001"/>
  </r>
  <r>
    <n v="43"/>
    <s v="male"/>
    <n v="26.03"/>
    <n v="0"/>
    <x v="1"/>
    <x v="3"/>
    <n v="6837.3687"/>
  </r>
  <r>
    <n v="51"/>
    <s v="male"/>
    <n v="23.21"/>
    <n v="1"/>
    <x v="0"/>
    <x v="1"/>
    <n v="22218.1149"/>
  </r>
  <r>
    <n v="19"/>
    <s v="male"/>
    <n v="30.25"/>
    <n v="0"/>
    <x v="0"/>
    <x v="1"/>
    <n v="32548.340499999998"/>
  </r>
  <r>
    <n v="38"/>
    <s v="female"/>
    <n v="28.93"/>
    <n v="1"/>
    <x v="1"/>
    <x v="1"/>
    <n v="5974.3846999999996"/>
  </r>
  <r>
    <n v="37"/>
    <s v="male"/>
    <n v="30.875"/>
    <n v="3"/>
    <x v="1"/>
    <x v="2"/>
    <n v="6796.8632500000003"/>
  </r>
  <r>
    <n v="22"/>
    <s v="male"/>
    <n v="31.35"/>
    <n v="1"/>
    <x v="1"/>
    <x v="2"/>
    <n v="2643.2685000000001"/>
  </r>
  <r>
    <n v="21"/>
    <s v="male"/>
    <n v="23.75"/>
    <n v="2"/>
    <x v="1"/>
    <x v="2"/>
    <n v="3077.0954999999999"/>
  </r>
  <r>
    <n v="24"/>
    <s v="female"/>
    <n v="25.27"/>
    <n v="0"/>
    <x v="1"/>
    <x v="3"/>
    <n v="3044.2132999999999"/>
  </r>
  <r>
    <n v="57"/>
    <s v="female"/>
    <n v="28.7"/>
    <n v="0"/>
    <x v="1"/>
    <x v="0"/>
    <n v="11455.28"/>
  </r>
  <r>
    <n v="56"/>
    <s v="male"/>
    <n v="32.11"/>
    <n v="1"/>
    <x v="1"/>
    <x v="3"/>
    <n v="11763.000899999999"/>
  </r>
  <r>
    <n v="27"/>
    <s v="male"/>
    <n v="33.659999999999997"/>
    <n v="0"/>
    <x v="1"/>
    <x v="1"/>
    <n v="2498.4144000000001"/>
  </r>
  <r>
    <n v="51"/>
    <s v="male"/>
    <n v="22.42"/>
    <n v="0"/>
    <x v="1"/>
    <x v="3"/>
    <n v="9361.3268000000007"/>
  </r>
  <r>
    <n v="19"/>
    <s v="male"/>
    <n v="30.4"/>
    <n v="0"/>
    <x v="1"/>
    <x v="0"/>
    <n v="1256.299"/>
  </r>
  <r>
    <n v="39"/>
    <s v="male"/>
    <n v="28.3"/>
    <n v="1"/>
    <x v="0"/>
    <x v="0"/>
    <n v="21082.16"/>
  </r>
  <r>
    <n v="58"/>
    <s v="male"/>
    <n v="35.700000000000003"/>
    <n v="0"/>
    <x v="1"/>
    <x v="0"/>
    <n v="11362.754999999999"/>
  </r>
  <r>
    <n v="20"/>
    <s v="male"/>
    <n v="35.31"/>
    <n v="1"/>
    <x v="1"/>
    <x v="1"/>
    <n v="27724.28875"/>
  </r>
  <r>
    <n v="45"/>
    <s v="male"/>
    <n v="30.495000000000001"/>
    <n v="2"/>
    <x v="1"/>
    <x v="2"/>
    <n v="8413.4630500000003"/>
  </r>
  <r>
    <n v="35"/>
    <s v="female"/>
    <n v="31"/>
    <n v="1"/>
    <x v="1"/>
    <x v="0"/>
    <n v="5240.7650000000003"/>
  </r>
  <r>
    <n v="31"/>
    <s v="male"/>
    <n v="30.875"/>
    <n v="0"/>
    <x v="1"/>
    <x v="3"/>
    <n v="3857.7592500000001"/>
  </r>
  <r>
    <n v="50"/>
    <s v="female"/>
    <n v="27.36"/>
    <n v="0"/>
    <x v="1"/>
    <x v="3"/>
    <n v="25656.575260000001"/>
  </r>
  <r>
    <n v="32"/>
    <s v="female"/>
    <n v="44.22"/>
    <n v="0"/>
    <x v="1"/>
    <x v="1"/>
    <n v="3994.1777999999999"/>
  </r>
  <r>
    <n v="51"/>
    <s v="female"/>
    <n v="33.914999999999999"/>
    <n v="0"/>
    <x v="1"/>
    <x v="3"/>
    <n v="9866.3048500000004"/>
  </r>
  <r>
    <n v="38"/>
    <s v="female"/>
    <n v="37.729999999999997"/>
    <n v="0"/>
    <x v="1"/>
    <x v="1"/>
    <n v="5397.6166999999996"/>
  </r>
  <r>
    <n v="42"/>
    <s v="male"/>
    <n v="26.07"/>
    <n v="1"/>
    <x v="0"/>
    <x v="1"/>
    <n v="38245.593269999998"/>
  </r>
  <r>
    <n v="18"/>
    <s v="female"/>
    <n v="33.880000000000003"/>
    <n v="0"/>
    <x v="1"/>
    <x v="1"/>
    <n v="11482.63485"/>
  </r>
  <r>
    <n v="19"/>
    <s v="female"/>
    <n v="30.59"/>
    <n v="2"/>
    <x v="1"/>
    <x v="2"/>
    <n v="24059.680189999999"/>
  </r>
  <r>
    <n v="51"/>
    <s v="female"/>
    <n v="25.8"/>
    <n v="1"/>
    <x v="1"/>
    <x v="0"/>
    <n v="9861.0249999999996"/>
  </r>
  <r>
    <n v="46"/>
    <s v="male"/>
    <n v="39.424999999999997"/>
    <n v="1"/>
    <x v="1"/>
    <x v="3"/>
    <n v="8342.9087500000005"/>
  </r>
  <r>
    <n v="18"/>
    <s v="male"/>
    <n v="25.46"/>
    <n v="0"/>
    <x v="1"/>
    <x v="3"/>
    <n v="1708.0014000000001"/>
  </r>
  <r>
    <n v="57"/>
    <s v="male"/>
    <n v="42.13"/>
    <n v="1"/>
    <x v="0"/>
    <x v="1"/>
    <n v="48675.517699999997"/>
  </r>
  <r>
    <n v="62"/>
    <s v="female"/>
    <n v="31.73"/>
    <n v="0"/>
    <x v="1"/>
    <x v="3"/>
    <n v="14043.476699999999"/>
  </r>
  <r>
    <n v="59"/>
    <s v="male"/>
    <n v="29.7"/>
    <n v="2"/>
    <x v="1"/>
    <x v="1"/>
    <n v="12925.886"/>
  </r>
  <r>
    <n v="37"/>
    <s v="male"/>
    <n v="36.19"/>
    <n v="0"/>
    <x v="1"/>
    <x v="1"/>
    <n v="19214.705529999999"/>
  </r>
  <r>
    <n v="64"/>
    <s v="male"/>
    <n v="40.479999999999997"/>
    <n v="0"/>
    <x v="1"/>
    <x v="1"/>
    <n v="13831.1152"/>
  </r>
  <r>
    <n v="38"/>
    <s v="male"/>
    <n v="28.024999999999999"/>
    <n v="1"/>
    <x v="1"/>
    <x v="3"/>
    <n v="6067.1267500000004"/>
  </r>
  <r>
    <n v="33"/>
    <s v="female"/>
    <n v="38.9"/>
    <n v="3"/>
    <x v="1"/>
    <x v="0"/>
    <n v="5972.3779999999997"/>
  </r>
  <r>
    <n v="46"/>
    <s v="female"/>
    <n v="30.2"/>
    <n v="2"/>
    <x v="1"/>
    <x v="0"/>
    <n v="8825.0859999999993"/>
  </r>
  <r>
    <n v="46"/>
    <s v="female"/>
    <n v="28.05"/>
    <n v="1"/>
    <x v="1"/>
    <x v="1"/>
    <n v="8233.0974999999999"/>
  </r>
  <r>
    <n v="53"/>
    <s v="male"/>
    <n v="31.35"/>
    <n v="0"/>
    <x v="1"/>
    <x v="1"/>
    <n v="27346.04207"/>
  </r>
  <r>
    <n v="34"/>
    <s v="female"/>
    <n v="38"/>
    <n v="3"/>
    <x v="1"/>
    <x v="0"/>
    <n v="6196.4480000000003"/>
  </r>
  <r>
    <n v="20"/>
    <s v="female"/>
    <n v="31.79"/>
    <n v="2"/>
    <x v="1"/>
    <x v="1"/>
    <n v="3056.3881000000001"/>
  </r>
  <r>
    <n v="63"/>
    <s v="female"/>
    <n v="36.299999999999997"/>
    <n v="0"/>
    <x v="1"/>
    <x v="1"/>
    <n v="13887.204"/>
  </r>
  <r>
    <n v="54"/>
    <s v="female"/>
    <n v="47.41"/>
    <n v="0"/>
    <x v="0"/>
    <x v="1"/>
    <n v="63770.428010000003"/>
  </r>
  <r>
    <n v="54"/>
    <s v="male"/>
    <n v="30.21"/>
    <n v="0"/>
    <x v="1"/>
    <x v="2"/>
    <n v="10231.499900000001"/>
  </r>
  <r>
    <n v="49"/>
    <s v="male"/>
    <n v="25.84"/>
    <n v="2"/>
    <x v="0"/>
    <x v="2"/>
    <n v="23807.240600000001"/>
  </r>
  <r>
    <n v="28"/>
    <s v="male"/>
    <n v="35.435000000000002"/>
    <n v="0"/>
    <x v="1"/>
    <x v="3"/>
    <n v="3268.84665"/>
  </r>
  <r>
    <n v="54"/>
    <s v="female"/>
    <n v="46.7"/>
    <n v="2"/>
    <x v="1"/>
    <x v="0"/>
    <n v="11538.421"/>
  </r>
  <r>
    <n v="25"/>
    <s v="female"/>
    <n v="28.594999999999999"/>
    <n v="0"/>
    <x v="1"/>
    <x v="3"/>
    <n v="3213.6220499999999"/>
  </r>
  <r>
    <n v="43"/>
    <s v="female"/>
    <n v="46.2"/>
    <n v="0"/>
    <x v="0"/>
    <x v="1"/>
    <n v="45863.205000000002"/>
  </r>
  <r>
    <n v="63"/>
    <s v="male"/>
    <n v="30.8"/>
    <n v="0"/>
    <x v="1"/>
    <x v="0"/>
    <n v="13390.558999999999"/>
  </r>
  <r>
    <n v="32"/>
    <s v="female"/>
    <n v="28.93"/>
    <n v="0"/>
    <x v="1"/>
    <x v="1"/>
    <n v="3972.9247"/>
  </r>
  <r>
    <n v="62"/>
    <s v="male"/>
    <n v="21.4"/>
    <n v="0"/>
    <x v="1"/>
    <x v="0"/>
    <n v="12957.118"/>
  </r>
  <r>
    <n v="52"/>
    <s v="female"/>
    <n v="31.73"/>
    <n v="2"/>
    <x v="1"/>
    <x v="2"/>
    <n v="11187.6567"/>
  </r>
  <r>
    <n v="25"/>
    <s v="female"/>
    <n v="41.325000000000003"/>
    <n v="0"/>
    <x v="1"/>
    <x v="3"/>
    <n v="17878.900679999999"/>
  </r>
  <r>
    <n v="28"/>
    <s v="male"/>
    <n v="23.8"/>
    <n v="2"/>
    <x v="1"/>
    <x v="0"/>
    <n v="3847.674"/>
  </r>
  <r>
    <n v="46"/>
    <s v="male"/>
    <n v="33.44"/>
    <n v="1"/>
    <x v="1"/>
    <x v="3"/>
    <n v="8334.5895999999993"/>
  </r>
  <r>
    <n v="34"/>
    <s v="male"/>
    <n v="34.21"/>
    <n v="0"/>
    <x v="1"/>
    <x v="1"/>
    <n v="3935.1799000000001"/>
  </r>
  <r>
    <n v="35"/>
    <s v="female"/>
    <n v="34.104999999999997"/>
    <n v="3"/>
    <x v="0"/>
    <x v="2"/>
    <n v="39983.425949999997"/>
  </r>
  <r>
    <n v="19"/>
    <s v="male"/>
    <n v="35.53"/>
    <n v="0"/>
    <x v="1"/>
    <x v="2"/>
    <n v="1646.4296999999999"/>
  </r>
  <r>
    <n v="46"/>
    <s v="female"/>
    <n v="19.95"/>
    <n v="2"/>
    <x v="1"/>
    <x v="2"/>
    <n v="9193.8384999999998"/>
  </r>
  <r>
    <n v="54"/>
    <s v="female"/>
    <n v="32.68"/>
    <n v="0"/>
    <x v="1"/>
    <x v="3"/>
    <n v="10923.933199999999"/>
  </r>
  <r>
    <n v="27"/>
    <s v="male"/>
    <n v="30.5"/>
    <n v="0"/>
    <x v="1"/>
    <x v="0"/>
    <n v="2494.0219999999999"/>
  </r>
  <r>
    <n v="50"/>
    <s v="male"/>
    <n v="44.77"/>
    <n v="1"/>
    <x v="1"/>
    <x v="1"/>
    <n v="9058.7302999999993"/>
  </r>
  <r>
    <n v="18"/>
    <s v="female"/>
    <n v="32.119999999999997"/>
    <n v="2"/>
    <x v="1"/>
    <x v="1"/>
    <n v="2801.2588000000001"/>
  </r>
  <r>
    <n v="19"/>
    <s v="female"/>
    <n v="30.495000000000001"/>
    <n v="0"/>
    <x v="1"/>
    <x v="2"/>
    <n v="2128.4310500000001"/>
  </r>
  <r>
    <n v="38"/>
    <s v="female"/>
    <n v="40.564999999999998"/>
    <n v="1"/>
    <x v="1"/>
    <x v="2"/>
    <n v="6373.55735"/>
  </r>
  <r>
    <n v="41"/>
    <s v="male"/>
    <n v="30.59"/>
    <n v="2"/>
    <x v="1"/>
    <x v="2"/>
    <n v="7256.7231000000002"/>
  </r>
  <r>
    <n v="49"/>
    <s v="female"/>
    <n v="31.9"/>
    <n v="5"/>
    <x v="1"/>
    <x v="0"/>
    <n v="11552.904"/>
  </r>
  <r>
    <n v="48"/>
    <s v="male"/>
    <n v="40.564999999999998"/>
    <n v="2"/>
    <x v="0"/>
    <x v="2"/>
    <n v="45702.022349999999"/>
  </r>
  <r>
    <n v="31"/>
    <s v="female"/>
    <n v="29.1"/>
    <n v="0"/>
    <x v="1"/>
    <x v="0"/>
    <n v="3761.2919999999999"/>
  </r>
  <r>
    <n v="18"/>
    <s v="female"/>
    <n v="37.29"/>
    <n v="1"/>
    <x v="1"/>
    <x v="1"/>
    <n v="2219.4450999999999"/>
  </r>
  <r>
    <n v="30"/>
    <s v="female"/>
    <n v="43.12"/>
    <n v="2"/>
    <x v="1"/>
    <x v="1"/>
    <n v="4753.6368000000002"/>
  </r>
  <r>
    <n v="62"/>
    <s v="female"/>
    <n v="36.86"/>
    <n v="1"/>
    <x v="1"/>
    <x v="3"/>
    <n v="31620.001059999999"/>
  </r>
  <r>
    <n v="57"/>
    <s v="female"/>
    <n v="34.295000000000002"/>
    <n v="2"/>
    <x v="1"/>
    <x v="3"/>
    <n v="13224.057049999999"/>
  </r>
  <r>
    <n v="58"/>
    <s v="female"/>
    <n v="27.17"/>
    <n v="0"/>
    <x v="1"/>
    <x v="2"/>
    <n v="12222.898300000001"/>
  </r>
  <r>
    <n v="22"/>
    <s v="male"/>
    <n v="26.84"/>
    <n v="0"/>
    <x v="1"/>
    <x v="1"/>
    <n v="1664.9996000000001"/>
  </r>
  <r>
    <n v="31"/>
    <s v="female"/>
    <n v="38.094999999999999"/>
    <n v="1"/>
    <x v="0"/>
    <x v="3"/>
    <n v="58571.074480000003"/>
  </r>
  <r>
    <n v="52"/>
    <s v="male"/>
    <n v="30.2"/>
    <n v="1"/>
    <x v="1"/>
    <x v="0"/>
    <n v="9724.5300000000007"/>
  </r>
  <r>
    <n v="25"/>
    <s v="female"/>
    <n v="23.465"/>
    <n v="0"/>
    <x v="1"/>
    <x v="3"/>
    <n v="3206.4913499999998"/>
  </r>
  <r>
    <n v="59"/>
    <s v="male"/>
    <n v="25.46"/>
    <n v="1"/>
    <x v="1"/>
    <x v="3"/>
    <n v="12913.992399999999"/>
  </r>
  <r>
    <n v="19"/>
    <s v="male"/>
    <n v="30.59"/>
    <n v="0"/>
    <x v="1"/>
    <x v="2"/>
    <n v="1639.5631000000001"/>
  </r>
  <r>
    <n v="39"/>
    <s v="male"/>
    <n v="45.43"/>
    <n v="2"/>
    <x v="1"/>
    <x v="1"/>
    <n v="6356.2707"/>
  </r>
  <r>
    <n v="32"/>
    <s v="female"/>
    <n v="23.65"/>
    <n v="1"/>
    <x v="1"/>
    <x v="1"/>
    <n v="17626.239509999999"/>
  </r>
  <r>
    <n v="19"/>
    <s v="male"/>
    <n v="20.7"/>
    <n v="0"/>
    <x v="1"/>
    <x v="0"/>
    <n v="1242.816"/>
  </r>
  <r>
    <n v="33"/>
    <s v="female"/>
    <n v="28.27"/>
    <n v="1"/>
    <x v="1"/>
    <x v="1"/>
    <n v="4779.6022999999996"/>
  </r>
  <r>
    <n v="21"/>
    <s v="male"/>
    <n v="20.234999999999999"/>
    <n v="3"/>
    <x v="1"/>
    <x v="3"/>
    <n v="3861.2096499999998"/>
  </r>
  <r>
    <n v="34"/>
    <s v="female"/>
    <n v="30.21"/>
    <n v="1"/>
    <x v="0"/>
    <x v="2"/>
    <n v="43943.876100000001"/>
  </r>
  <r>
    <n v="61"/>
    <s v="female"/>
    <n v="35.909999999999997"/>
    <n v="0"/>
    <x v="1"/>
    <x v="3"/>
    <n v="13635.6379"/>
  </r>
  <r>
    <n v="38"/>
    <s v="female"/>
    <n v="30.69"/>
    <n v="1"/>
    <x v="1"/>
    <x v="1"/>
    <n v="5976.8311000000003"/>
  </r>
  <r>
    <n v="58"/>
    <s v="female"/>
    <n v="29"/>
    <n v="0"/>
    <x v="1"/>
    <x v="0"/>
    <n v="11842.441999999999"/>
  </r>
  <r>
    <n v="47"/>
    <s v="male"/>
    <n v="19.57"/>
    <n v="1"/>
    <x v="1"/>
    <x v="2"/>
    <n v="8428.0692999999992"/>
  </r>
  <r>
    <n v="20"/>
    <s v="male"/>
    <n v="31.13"/>
    <n v="2"/>
    <x v="1"/>
    <x v="1"/>
    <n v="2566.4706999999999"/>
  </r>
  <r>
    <n v="21"/>
    <s v="female"/>
    <n v="21.85"/>
    <n v="1"/>
    <x v="0"/>
    <x v="3"/>
    <n v="15359.104499999999"/>
  </r>
  <r>
    <n v="41"/>
    <s v="male"/>
    <n v="40.26"/>
    <n v="0"/>
    <x v="1"/>
    <x v="1"/>
    <n v="5709.1643999999997"/>
  </r>
  <r>
    <n v="46"/>
    <s v="female"/>
    <n v="33.725000000000001"/>
    <n v="1"/>
    <x v="1"/>
    <x v="3"/>
    <n v="8823.9857499999998"/>
  </r>
  <r>
    <n v="42"/>
    <s v="female"/>
    <n v="29.48"/>
    <n v="2"/>
    <x v="1"/>
    <x v="1"/>
    <n v="7640.3091999999997"/>
  </r>
  <r>
    <n v="34"/>
    <s v="female"/>
    <n v="33.25"/>
    <n v="1"/>
    <x v="1"/>
    <x v="3"/>
    <n v="5594.8455000000004"/>
  </r>
  <r>
    <n v="43"/>
    <s v="male"/>
    <n v="32.6"/>
    <n v="2"/>
    <x v="1"/>
    <x v="0"/>
    <n v="7441.5010000000002"/>
  </r>
  <r>
    <n v="52"/>
    <s v="female"/>
    <n v="37.524999999999999"/>
    <n v="2"/>
    <x v="1"/>
    <x v="2"/>
    <n v="33471.971890000001"/>
  </r>
  <r>
    <n v="18"/>
    <s v="female"/>
    <n v="39.159999999999997"/>
    <n v="0"/>
    <x v="1"/>
    <x v="1"/>
    <n v="1633.0444"/>
  </r>
  <r>
    <n v="51"/>
    <s v="male"/>
    <n v="31.635000000000002"/>
    <n v="0"/>
    <x v="1"/>
    <x v="2"/>
    <n v="9174.1356500000002"/>
  </r>
  <r>
    <n v="56"/>
    <s v="female"/>
    <n v="25.3"/>
    <n v="0"/>
    <x v="1"/>
    <x v="0"/>
    <n v="11070.535"/>
  </r>
  <r>
    <n v="64"/>
    <s v="female"/>
    <n v="39.049999999999997"/>
    <n v="3"/>
    <x v="1"/>
    <x v="1"/>
    <n v="16085.127500000001"/>
  </r>
  <r>
    <n v="19"/>
    <s v="female"/>
    <n v="28.31"/>
    <n v="0"/>
    <x v="0"/>
    <x v="2"/>
    <n v="17468.983899999999"/>
  </r>
  <r>
    <n v="51"/>
    <s v="female"/>
    <n v="34.1"/>
    <n v="0"/>
    <x v="1"/>
    <x v="1"/>
    <n v="9283.5619999999999"/>
  </r>
  <r>
    <n v="27"/>
    <s v="female"/>
    <n v="25.175000000000001"/>
    <n v="0"/>
    <x v="1"/>
    <x v="3"/>
    <n v="3558.6202499999999"/>
  </r>
  <r>
    <n v="59"/>
    <s v="female"/>
    <n v="23.655000000000001"/>
    <n v="0"/>
    <x v="0"/>
    <x v="2"/>
    <n v="25678.778450000002"/>
  </r>
  <r>
    <n v="28"/>
    <s v="male"/>
    <n v="26.98"/>
    <n v="2"/>
    <x v="1"/>
    <x v="3"/>
    <n v="4435.0941999999995"/>
  </r>
  <r>
    <n v="30"/>
    <s v="male"/>
    <n v="37.799999999999997"/>
    <n v="2"/>
    <x v="0"/>
    <x v="0"/>
    <n v="39241.442000000003"/>
  </r>
  <r>
    <n v="47"/>
    <s v="female"/>
    <n v="29.37"/>
    <n v="1"/>
    <x v="1"/>
    <x v="1"/>
    <n v="8547.6913000000004"/>
  </r>
  <r>
    <n v="38"/>
    <s v="female"/>
    <n v="34.799999999999997"/>
    <n v="2"/>
    <x v="1"/>
    <x v="0"/>
    <n v="6571.5439999999999"/>
  </r>
  <r>
    <n v="18"/>
    <s v="female"/>
    <n v="33.155000000000001"/>
    <n v="0"/>
    <x v="1"/>
    <x v="3"/>
    <n v="2207.6974500000001"/>
  </r>
  <r>
    <n v="34"/>
    <s v="female"/>
    <n v="19"/>
    <n v="3"/>
    <x v="1"/>
    <x v="3"/>
    <n v="6753.0379999999996"/>
  </r>
  <r>
    <n v="20"/>
    <s v="female"/>
    <n v="33"/>
    <n v="0"/>
    <x v="1"/>
    <x v="1"/>
    <n v="1880.07"/>
  </r>
  <r>
    <n v="47"/>
    <s v="female"/>
    <n v="36.630000000000003"/>
    <n v="1"/>
    <x v="0"/>
    <x v="1"/>
    <n v="42969.852700000003"/>
  </r>
  <r>
    <n v="56"/>
    <s v="female"/>
    <n v="28.594999999999999"/>
    <n v="0"/>
    <x v="1"/>
    <x v="3"/>
    <n v="11658.11505"/>
  </r>
  <r>
    <n v="49"/>
    <s v="male"/>
    <n v="25.6"/>
    <n v="2"/>
    <x v="0"/>
    <x v="0"/>
    <n v="23306.546999999999"/>
  </r>
  <r>
    <n v="19"/>
    <s v="female"/>
    <n v="33.11"/>
    <n v="0"/>
    <x v="0"/>
    <x v="1"/>
    <n v="34439.855900000002"/>
  </r>
  <r>
    <n v="55"/>
    <s v="female"/>
    <n v="37.1"/>
    <n v="0"/>
    <x v="1"/>
    <x v="0"/>
    <n v="10713.644"/>
  </r>
  <r>
    <n v="30"/>
    <s v="male"/>
    <n v="31.4"/>
    <n v="1"/>
    <x v="1"/>
    <x v="0"/>
    <n v="3659.346"/>
  </r>
  <r>
    <n v="37"/>
    <s v="male"/>
    <n v="34.1"/>
    <n v="4"/>
    <x v="0"/>
    <x v="0"/>
    <n v="40182.245999999999"/>
  </r>
  <r>
    <n v="49"/>
    <s v="female"/>
    <n v="21.3"/>
    <n v="1"/>
    <x v="1"/>
    <x v="0"/>
    <n v="9182.17"/>
  </r>
  <r>
    <n v="18"/>
    <s v="male"/>
    <n v="33.534999999999997"/>
    <n v="0"/>
    <x v="0"/>
    <x v="3"/>
    <n v="34617.840649999998"/>
  </r>
  <r>
    <n v="59"/>
    <s v="male"/>
    <n v="28.785"/>
    <n v="0"/>
    <x v="1"/>
    <x v="2"/>
    <n v="12129.614149999999"/>
  </r>
  <r>
    <n v="29"/>
    <s v="female"/>
    <n v="26.03"/>
    <n v="0"/>
    <x v="1"/>
    <x v="2"/>
    <n v="3736.4647"/>
  </r>
  <r>
    <n v="36"/>
    <s v="male"/>
    <n v="28.88"/>
    <n v="3"/>
    <x v="1"/>
    <x v="3"/>
    <n v="6748.5911999999998"/>
  </r>
  <r>
    <n v="33"/>
    <s v="male"/>
    <n v="42.46"/>
    <n v="1"/>
    <x v="1"/>
    <x v="1"/>
    <n v="11326.71487"/>
  </r>
  <r>
    <n v="58"/>
    <s v="male"/>
    <n v="38"/>
    <n v="0"/>
    <x v="1"/>
    <x v="0"/>
    <n v="11365.951999999999"/>
  </r>
  <r>
    <n v="44"/>
    <s v="female"/>
    <n v="38.950000000000003"/>
    <n v="0"/>
    <x v="0"/>
    <x v="2"/>
    <n v="42983.458500000001"/>
  </r>
  <r>
    <n v="53"/>
    <s v="male"/>
    <n v="36.1"/>
    <n v="1"/>
    <x v="1"/>
    <x v="0"/>
    <n v="10085.846"/>
  </r>
  <r>
    <n v="24"/>
    <s v="male"/>
    <n v="29.3"/>
    <n v="0"/>
    <x v="1"/>
    <x v="0"/>
    <n v="1977.8150000000001"/>
  </r>
  <r>
    <n v="29"/>
    <s v="female"/>
    <n v="35.53"/>
    <n v="0"/>
    <x v="1"/>
    <x v="1"/>
    <n v="3366.6696999999999"/>
  </r>
  <r>
    <n v="40"/>
    <s v="male"/>
    <n v="22.704999999999998"/>
    <n v="2"/>
    <x v="1"/>
    <x v="3"/>
    <n v="7173.35995"/>
  </r>
  <r>
    <n v="51"/>
    <s v="male"/>
    <n v="39.700000000000003"/>
    <n v="1"/>
    <x v="1"/>
    <x v="0"/>
    <n v="9391.3459999999995"/>
  </r>
  <r>
    <n v="64"/>
    <s v="male"/>
    <n v="38.19"/>
    <n v="0"/>
    <x v="1"/>
    <x v="3"/>
    <n v="14410.9321"/>
  </r>
  <r>
    <n v="19"/>
    <s v="female"/>
    <n v="24.51"/>
    <n v="1"/>
    <x v="1"/>
    <x v="2"/>
    <n v="2709.1118999999999"/>
  </r>
  <r>
    <n v="35"/>
    <s v="female"/>
    <n v="38.094999999999999"/>
    <n v="2"/>
    <x v="1"/>
    <x v="3"/>
    <n v="24915.046259999999"/>
  </r>
  <r>
    <n v="39"/>
    <s v="male"/>
    <n v="26.41"/>
    <n v="0"/>
    <x v="0"/>
    <x v="3"/>
    <n v="20149.322899999999"/>
  </r>
  <r>
    <n v="56"/>
    <s v="male"/>
    <n v="33.659999999999997"/>
    <n v="4"/>
    <x v="1"/>
    <x v="1"/>
    <n v="12949.1554"/>
  </r>
  <r>
    <n v="33"/>
    <s v="male"/>
    <n v="42.4"/>
    <n v="5"/>
    <x v="1"/>
    <x v="0"/>
    <n v="6666.2430000000004"/>
  </r>
  <r>
    <n v="42"/>
    <s v="male"/>
    <n v="28.31"/>
    <n v="3"/>
    <x v="0"/>
    <x v="2"/>
    <n v="32787.458590000002"/>
  </r>
  <r>
    <n v="61"/>
    <s v="male"/>
    <n v="33.914999999999999"/>
    <n v="0"/>
    <x v="1"/>
    <x v="3"/>
    <n v="13143.86485"/>
  </r>
  <r>
    <n v="23"/>
    <s v="female"/>
    <n v="34.96"/>
    <n v="3"/>
    <x v="1"/>
    <x v="2"/>
    <n v="4466.6214"/>
  </r>
  <r>
    <n v="43"/>
    <s v="male"/>
    <n v="35.31"/>
    <n v="2"/>
    <x v="1"/>
    <x v="1"/>
    <n v="18806.145469999999"/>
  </r>
  <r>
    <n v="48"/>
    <s v="male"/>
    <n v="30.78"/>
    <n v="3"/>
    <x v="1"/>
    <x v="3"/>
    <n v="10141.136200000001"/>
  </r>
  <r>
    <n v="39"/>
    <s v="male"/>
    <n v="26.22"/>
    <n v="1"/>
    <x v="1"/>
    <x v="2"/>
    <n v="6123.5688"/>
  </r>
  <r>
    <n v="40"/>
    <s v="female"/>
    <n v="23.37"/>
    <n v="3"/>
    <x v="1"/>
    <x v="3"/>
    <n v="8252.2842999999993"/>
  </r>
  <r>
    <n v="18"/>
    <s v="male"/>
    <n v="28.5"/>
    <n v="0"/>
    <x v="1"/>
    <x v="3"/>
    <n v="1712.2270000000001"/>
  </r>
  <r>
    <n v="58"/>
    <s v="female"/>
    <n v="32.965000000000003"/>
    <n v="0"/>
    <x v="1"/>
    <x v="3"/>
    <n v="12430.95335"/>
  </r>
  <r>
    <n v="49"/>
    <s v="female"/>
    <n v="42.68"/>
    <n v="2"/>
    <x v="1"/>
    <x v="1"/>
    <n v="9800.8881999999994"/>
  </r>
  <r>
    <n v="53"/>
    <s v="female"/>
    <n v="39.6"/>
    <n v="1"/>
    <x v="1"/>
    <x v="1"/>
    <n v="10579.710999999999"/>
  </r>
  <r>
    <n v="48"/>
    <s v="female"/>
    <n v="31.13"/>
    <n v="0"/>
    <x v="1"/>
    <x v="1"/>
    <n v="8280.6226999999999"/>
  </r>
  <r>
    <n v="45"/>
    <s v="female"/>
    <n v="36.299999999999997"/>
    <n v="2"/>
    <x v="1"/>
    <x v="1"/>
    <n v="8527.5319999999992"/>
  </r>
  <r>
    <n v="59"/>
    <s v="female"/>
    <n v="35.200000000000003"/>
    <n v="0"/>
    <x v="1"/>
    <x v="1"/>
    <n v="12244.531000000001"/>
  </r>
  <r>
    <n v="52"/>
    <s v="female"/>
    <n v="25.3"/>
    <n v="2"/>
    <x v="0"/>
    <x v="1"/>
    <n v="24667.419000000002"/>
  </r>
  <r>
    <n v="26"/>
    <s v="female"/>
    <n v="42.4"/>
    <n v="1"/>
    <x v="1"/>
    <x v="0"/>
    <n v="3410.3240000000001"/>
  </r>
  <r>
    <n v="27"/>
    <s v="male"/>
    <n v="33.155000000000001"/>
    <n v="2"/>
    <x v="1"/>
    <x v="2"/>
    <n v="4058.71245"/>
  </r>
  <r>
    <n v="48"/>
    <s v="female"/>
    <n v="35.909999999999997"/>
    <n v="1"/>
    <x v="1"/>
    <x v="3"/>
    <n v="26392.260289999998"/>
  </r>
  <r>
    <n v="57"/>
    <s v="female"/>
    <n v="28.785"/>
    <n v="4"/>
    <x v="1"/>
    <x v="3"/>
    <n v="14394.398150000001"/>
  </r>
  <r>
    <n v="37"/>
    <s v="male"/>
    <n v="46.53"/>
    <n v="3"/>
    <x v="1"/>
    <x v="1"/>
    <n v="6435.6237000000001"/>
  </r>
  <r>
    <n v="57"/>
    <s v="female"/>
    <n v="23.98"/>
    <n v="1"/>
    <x v="1"/>
    <x v="1"/>
    <n v="22192.437109999999"/>
  </r>
  <r>
    <n v="32"/>
    <s v="female"/>
    <n v="31.54"/>
    <n v="1"/>
    <x v="1"/>
    <x v="3"/>
    <n v="5148.5526"/>
  </r>
  <r>
    <n v="18"/>
    <s v="male"/>
    <n v="33.659999999999997"/>
    <n v="0"/>
    <x v="1"/>
    <x v="1"/>
    <n v="1136.3994"/>
  </r>
  <r>
    <n v="64"/>
    <s v="female"/>
    <n v="22.99"/>
    <n v="0"/>
    <x v="0"/>
    <x v="1"/>
    <n v="27037.914100000002"/>
  </r>
  <r>
    <n v="43"/>
    <s v="male"/>
    <n v="38.06"/>
    <n v="2"/>
    <x v="0"/>
    <x v="1"/>
    <n v="42560.430399999997"/>
  </r>
  <r>
    <n v="49"/>
    <s v="male"/>
    <n v="28.7"/>
    <n v="1"/>
    <x v="1"/>
    <x v="0"/>
    <n v="8703.4560000000001"/>
  </r>
  <r>
    <n v="40"/>
    <s v="female"/>
    <n v="32.774999999999999"/>
    <n v="2"/>
    <x v="0"/>
    <x v="2"/>
    <n v="40003.332249999999"/>
  </r>
  <r>
    <n v="62"/>
    <s v="male"/>
    <n v="32.015000000000001"/>
    <n v="0"/>
    <x v="0"/>
    <x v="3"/>
    <n v="45710.207849999999"/>
  </r>
  <r>
    <n v="40"/>
    <s v="female"/>
    <n v="29.81"/>
    <n v="1"/>
    <x v="1"/>
    <x v="1"/>
    <n v="6500.2358999999997"/>
  </r>
  <r>
    <n v="30"/>
    <s v="male"/>
    <n v="31.57"/>
    <n v="3"/>
    <x v="1"/>
    <x v="1"/>
    <n v="4837.5823"/>
  </r>
  <r>
    <n v="29"/>
    <s v="female"/>
    <n v="31.16"/>
    <n v="0"/>
    <x v="1"/>
    <x v="3"/>
    <n v="3943.5954000000002"/>
  </r>
  <r>
    <n v="36"/>
    <s v="male"/>
    <n v="29.7"/>
    <n v="0"/>
    <x v="1"/>
    <x v="1"/>
    <n v="4399.7309999999998"/>
  </r>
  <r>
    <n v="41"/>
    <s v="female"/>
    <n v="31.02"/>
    <n v="0"/>
    <x v="1"/>
    <x v="1"/>
    <n v="6185.3208000000004"/>
  </r>
  <r>
    <n v="44"/>
    <s v="female"/>
    <n v="43.89"/>
    <n v="2"/>
    <x v="0"/>
    <x v="1"/>
    <n v="46200.985099999998"/>
  </r>
  <r>
    <n v="45"/>
    <s v="male"/>
    <n v="21.375"/>
    <n v="0"/>
    <x v="1"/>
    <x v="2"/>
    <n v="7222.7862500000001"/>
  </r>
  <r>
    <n v="55"/>
    <s v="female"/>
    <n v="40.81"/>
    <n v="3"/>
    <x v="1"/>
    <x v="1"/>
    <n v="12485.8009"/>
  </r>
  <r>
    <n v="60"/>
    <s v="male"/>
    <n v="31.35"/>
    <n v="3"/>
    <x v="0"/>
    <x v="2"/>
    <n v="46130.5265"/>
  </r>
  <r>
    <n v="56"/>
    <s v="male"/>
    <n v="36.1"/>
    <n v="3"/>
    <x v="1"/>
    <x v="0"/>
    <n v="12363.547"/>
  </r>
  <r>
    <n v="49"/>
    <s v="female"/>
    <n v="23.18"/>
    <n v="2"/>
    <x v="1"/>
    <x v="2"/>
    <n v="10156.7832"/>
  </r>
  <r>
    <n v="21"/>
    <s v="female"/>
    <n v="17.399999999999999"/>
    <n v="1"/>
    <x v="1"/>
    <x v="0"/>
    <n v="2585.2689999999998"/>
  </r>
  <r>
    <n v="19"/>
    <s v="male"/>
    <n v="20.3"/>
    <n v="0"/>
    <x v="1"/>
    <x v="0"/>
    <n v="1242.26"/>
  </r>
  <r>
    <n v="39"/>
    <s v="male"/>
    <n v="35.299999999999997"/>
    <n v="2"/>
    <x v="0"/>
    <x v="0"/>
    <n v="40103.89"/>
  </r>
  <r>
    <n v="53"/>
    <s v="male"/>
    <n v="24.32"/>
    <n v="0"/>
    <x v="1"/>
    <x v="2"/>
    <n v="9863.4717999999993"/>
  </r>
  <r>
    <n v="33"/>
    <s v="female"/>
    <n v="18.5"/>
    <n v="1"/>
    <x v="1"/>
    <x v="0"/>
    <n v="4766.0219999999999"/>
  </r>
  <r>
    <n v="53"/>
    <s v="male"/>
    <n v="26.41"/>
    <n v="2"/>
    <x v="1"/>
    <x v="3"/>
    <n v="11244.376899999999"/>
  </r>
  <r>
    <n v="42"/>
    <s v="male"/>
    <n v="26.125"/>
    <n v="2"/>
    <x v="1"/>
    <x v="3"/>
    <n v="7729.6457499999997"/>
  </r>
  <r>
    <n v="40"/>
    <s v="male"/>
    <n v="41.69"/>
    <n v="0"/>
    <x v="1"/>
    <x v="1"/>
    <n v="5438.7491"/>
  </r>
  <r>
    <n v="47"/>
    <s v="female"/>
    <n v="24.1"/>
    <n v="1"/>
    <x v="1"/>
    <x v="0"/>
    <n v="26236.579969999999"/>
  </r>
  <r>
    <n v="27"/>
    <s v="male"/>
    <n v="31.13"/>
    <n v="1"/>
    <x v="0"/>
    <x v="1"/>
    <n v="34806.467700000001"/>
  </r>
  <r>
    <n v="21"/>
    <s v="male"/>
    <n v="27.36"/>
    <n v="0"/>
    <x v="1"/>
    <x v="3"/>
    <n v="2104.1134000000002"/>
  </r>
  <r>
    <n v="47"/>
    <s v="male"/>
    <n v="36.200000000000003"/>
    <n v="1"/>
    <x v="1"/>
    <x v="0"/>
    <n v="8068.1850000000004"/>
  </r>
  <r>
    <n v="20"/>
    <s v="male"/>
    <n v="32.395000000000003"/>
    <n v="1"/>
    <x v="1"/>
    <x v="2"/>
    <n v="2362.2290499999999"/>
  </r>
  <r>
    <n v="24"/>
    <s v="male"/>
    <n v="23.655000000000001"/>
    <n v="0"/>
    <x v="1"/>
    <x v="2"/>
    <n v="2352.9684499999998"/>
  </r>
  <r>
    <n v="27"/>
    <s v="female"/>
    <n v="34.799999999999997"/>
    <n v="1"/>
    <x v="1"/>
    <x v="0"/>
    <n v="3577.9989999999998"/>
  </r>
  <r>
    <n v="26"/>
    <s v="female"/>
    <n v="40.185000000000002"/>
    <n v="0"/>
    <x v="1"/>
    <x v="2"/>
    <n v="3201.2451500000002"/>
  </r>
  <r>
    <n v="53"/>
    <s v="female"/>
    <n v="32.299999999999997"/>
    <n v="2"/>
    <x v="1"/>
    <x v="3"/>
    <n v="29186.482360000002"/>
  </r>
  <r>
    <n v="41"/>
    <s v="male"/>
    <n v="35.75"/>
    <n v="1"/>
    <x v="0"/>
    <x v="1"/>
    <n v="40273.645499999999"/>
  </r>
  <r>
    <n v="56"/>
    <s v="male"/>
    <n v="33.725000000000001"/>
    <n v="0"/>
    <x v="1"/>
    <x v="2"/>
    <n v="10976.24575"/>
  </r>
  <r>
    <n v="23"/>
    <s v="female"/>
    <n v="39.270000000000003"/>
    <n v="2"/>
    <x v="1"/>
    <x v="1"/>
    <n v="3500.6122999999998"/>
  </r>
  <r>
    <n v="21"/>
    <s v="female"/>
    <n v="34.869999999999997"/>
    <n v="0"/>
    <x v="1"/>
    <x v="1"/>
    <n v="2020.5523000000001"/>
  </r>
  <r>
    <n v="50"/>
    <s v="female"/>
    <n v="44.744999999999997"/>
    <n v="0"/>
    <x v="1"/>
    <x v="3"/>
    <n v="9541.6955500000004"/>
  </r>
  <r>
    <n v="53"/>
    <s v="male"/>
    <n v="41.47"/>
    <n v="0"/>
    <x v="1"/>
    <x v="1"/>
    <n v="9504.3102999999992"/>
  </r>
  <r>
    <n v="34"/>
    <s v="female"/>
    <n v="26.41"/>
    <n v="1"/>
    <x v="1"/>
    <x v="2"/>
    <n v="5385.3379000000004"/>
  </r>
  <r>
    <n v="47"/>
    <s v="female"/>
    <n v="29.545000000000002"/>
    <n v="1"/>
    <x v="1"/>
    <x v="2"/>
    <n v="8930.9345499999999"/>
  </r>
  <r>
    <n v="33"/>
    <s v="female"/>
    <n v="32.9"/>
    <n v="2"/>
    <x v="1"/>
    <x v="0"/>
    <n v="5375.0379999999996"/>
  </r>
  <r>
    <n v="51"/>
    <s v="female"/>
    <n v="38.06"/>
    <n v="0"/>
    <x v="0"/>
    <x v="1"/>
    <n v="44400.4064"/>
  </r>
  <r>
    <n v="49"/>
    <s v="male"/>
    <n v="28.69"/>
    <n v="3"/>
    <x v="1"/>
    <x v="2"/>
    <n v="10264.4421"/>
  </r>
  <r>
    <n v="31"/>
    <s v="female"/>
    <n v="30.495000000000001"/>
    <n v="3"/>
    <x v="1"/>
    <x v="3"/>
    <n v="6113.2310500000003"/>
  </r>
  <r>
    <n v="36"/>
    <s v="female"/>
    <n v="27.74"/>
    <n v="0"/>
    <x v="1"/>
    <x v="3"/>
    <n v="5469.0065999999997"/>
  </r>
  <r>
    <n v="18"/>
    <s v="male"/>
    <n v="35.200000000000003"/>
    <n v="1"/>
    <x v="1"/>
    <x v="1"/>
    <n v="1727.54"/>
  </r>
  <r>
    <n v="50"/>
    <s v="female"/>
    <n v="23.54"/>
    <n v="2"/>
    <x v="1"/>
    <x v="1"/>
    <n v="10107.220600000001"/>
  </r>
  <r>
    <n v="43"/>
    <s v="female"/>
    <n v="30.684999999999999"/>
    <n v="2"/>
    <x v="1"/>
    <x v="2"/>
    <n v="8310.8391499999998"/>
  </r>
  <r>
    <n v="20"/>
    <s v="male"/>
    <n v="40.47"/>
    <n v="0"/>
    <x v="1"/>
    <x v="3"/>
    <n v="1984.4532999999999"/>
  </r>
  <r>
    <n v="24"/>
    <s v="female"/>
    <n v="22.6"/>
    <n v="0"/>
    <x v="1"/>
    <x v="0"/>
    <n v="2457.502"/>
  </r>
  <r>
    <n v="60"/>
    <s v="male"/>
    <n v="28.9"/>
    <n v="0"/>
    <x v="1"/>
    <x v="0"/>
    <n v="12146.971"/>
  </r>
  <r>
    <n v="49"/>
    <s v="female"/>
    <n v="22.61"/>
    <n v="1"/>
    <x v="1"/>
    <x v="2"/>
    <n v="9566.9909000000007"/>
  </r>
  <r>
    <n v="60"/>
    <s v="male"/>
    <n v="24.32"/>
    <n v="1"/>
    <x v="1"/>
    <x v="2"/>
    <n v="13112.604799999999"/>
  </r>
  <r>
    <n v="51"/>
    <s v="female"/>
    <n v="36.67"/>
    <n v="2"/>
    <x v="1"/>
    <x v="2"/>
    <n v="10848.1343"/>
  </r>
  <r>
    <n v="58"/>
    <s v="female"/>
    <n v="33.44"/>
    <n v="0"/>
    <x v="1"/>
    <x v="2"/>
    <n v="12231.613600000001"/>
  </r>
  <r>
    <n v="51"/>
    <s v="female"/>
    <n v="40.659999999999997"/>
    <n v="0"/>
    <x v="1"/>
    <x v="3"/>
    <n v="9875.6803999999993"/>
  </r>
  <r>
    <n v="53"/>
    <s v="male"/>
    <n v="36.6"/>
    <n v="3"/>
    <x v="1"/>
    <x v="0"/>
    <n v="11264.540999999999"/>
  </r>
  <r>
    <n v="62"/>
    <s v="male"/>
    <n v="37.4"/>
    <n v="0"/>
    <x v="1"/>
    <x v="0"/>
    <n v="12979.358"/>
  </r>
  <r>
    <n v="19"/>
    <s v="male"/>
    <n v="35.4"/>
    <n v="0"/>
    <x v="1"/>
    <x v="0"/>
    <n v="1263.249"/>
  </r>
  <r>
    <n v="50"/>
    <s v="female"/>
    <n v="27.074999999999999"/>
    <n v="1"/>
    <x v="1"/>
    <x v="3"/>
    <n v="10106.134249999999"/>
  </r>
  <r>
    <n v="30"/>
    <s v="female"/>
    <n v="39.049999999999997"/>
    <n v="3"/>
    <x v="0"/>
    <x v="1"/>
    <n v="40932.429499999998"/>
  </r>
  <r>
    <n v="41"/>
    <s v="male"/>
    <n v="28.405000000000001"/>
    <n v="1"/>
    <x v="1"/>
    <x v="2"/>
    <n v="6664.68595"/>
  </r>
  <r>
    <n v="29"/>
    <s v="female"/>
    <n v="21.754999999999999"/>
    <n v="1"/>
    <x v="0"/>
    <x v="3"/>
    <n v="16657.71745"/>
  </r>
  <r>
    <n v="18"/>
    <s v="female"/>
    <n v="40.28"/>
    <n v="0"/>
    <x v="1"/>
    <x v="3"/>
    <n v="2217.6012000000001"/>
  </r>
  <r>
    <n v="41"/>
    <s v="female"/>
    <n v="36.08"/>
    <n v="1"/>
    <x v="1"/>
    <x v="1"/>
    <n v="6781.3541999999998"/>
  </r>
  <r>
    <n v="35"/>
    <s v="male"/>
    <n v="24.42"/>
    <n v="3"/>
    <x v="0"/>
    <x v="1"/>
    <n v="19361.998800000001"/>
  </r>
  <r>
    <n v="53"/>
    <s v="male"/>
    <n v="21.4"/>
    <n v="1"/>
    <x v="1"/>
    <x v="0"/>
    <n v="10065.413"/>
  </r>
  <r>
    <n v="24"/>
    <s v="female"/>
    <n v="30.1"/>
    <n v="3"/>
    <x v="1"/>
    <x v="0"/>
    <n v="4234.9269999999997"/>
  </r>
  <r>
    <n v="48"/>
    <s v="female"/>
    <n v="27.265000000000001"/>
    <n v="1"/>
    <x v="1"/>
    <x v="3"/>
    <n v="9447.2503500000003"/>
  </r>
  <r>
    <n v="59"/>
    <s v="female"/>
    <n v="32.1"/>
    <n v="3"/>
    <x v="1"/>
    <x v="0"/>
    <n v="14007.222"/>
  </r>
  <r>
    <n v="49"/>
    <s v="female"/>
    <n v="34.770000000000003"/>
    <n v="1"/>
    <x v="1"/>
    <x v="2"/>
    <n v="9583.8932999999997"/>
  </r>
  <r>
    <n v="37"/>
    <s v="female"/>
    <n v="38.39"/>
    <n v="0"/>
    <x v="0"/>
    <x v="1"/>
    <n v="40419.019099999998"/>
  </r>
  <r>
    <n v="26"/>
    <s v="male"/>
    <n v="23.7"/>
    <n v="2"/>
    <x v="1"/>
    <x v="0"/>
    <n v="3484.3310000000001"/>
  </r>
  <r>
    <n v="23"/>
    <s v="male"/>
    <n v="31.73"/>
    <n v="3"/>
    <x v="0"/>
    <x v="3"/>
    <n v="36189.101699999999"/>
  </r>
  <r>
    <n v="29"/>
    <s v="male"/>
    <n v="35.5"/>
    <n v="2"/>
    <x v="0"/>
    <x v="0"/>
    <n v="44585.455869999998"/>
  </r>
  <r>
    <n v="45"/>
    <s v="male"/>
    <n v="24.035"/>
    <n v="2"/>
    <x v="1"/>
    <x v="3"/>
    <n v="8604.4836500000001"/>
  </r>
  <r>
    <n v="27"/>
    <s v="male"/>
    <n v="29.15"/>
    <n v="0"/>
    <x v="0"/>
    <x v="1"/>
    <n v="18246.495500000001"/>
  </r>
  <r>
    <n v="53"/>
    <s v="male"/>
    <n v="34.104999999999997"/>
    <n v="0"/>
    <x v="0"/>
    <x v="3"/>
    <n v="43254.417950000003"/>
  </r>
  <r>
    <n v="31"/>
    <s v="female"/>
    <n v="26.62"/>
    <n v="0"/>
    <x v="1"/>
    <x v="1"/>
    <n v="3757.8447999999999"/>
  </r>
  <r>
    <n v="50"/>
    <s v="male"/>
    <n v="26.41"/>
    <n v="0"/>
    <x v="1"/>
    <x v="2"/>
    <n v="8827.2098999999998"/>
  </r>
  <r>
    <n v="50"/>
    <s v="female"/>
    <n v="30.114999999999998"/>
    <n v="1"/>
    <x v="1"/>
    <x v="2"/>
    <n v="9910.3598500000007"/>
  </r>
  <r>
    <n v="34"/>
    <s v="male"/>
    <n v="27"/>
    <n v="2"/>
    <x v="1"/>
    <x v="0"/>
    <n v="11737.848840000001"/>
  </r>
  <r>
    <n v="19"/>
    <s v="male"/>
    <n v="21.754999999999999"/>
    <n v="0"/>
    <x v="1"/>
    <x v="2"/>
    <n v="1627.2824499999999"/>
  </r>
  <r>
    <n v="47"/>
    <s v="female"/>
    <n v="36"/>
    <n v="1"/>
    <x v="1"/>
    <x v="0"/>
    <n v="8556.9069999999992"/>
  </r>
  <r>
    <n v="28"/>
    <s v="male"/>
    <n v="30.875"/>
    <n v="0"/>
    <x v="1"/>
    <x v="2"/>
    <n v="3062.5082499999999"/>
  </r>
  <r>
    <n v="37"/>
    <s v="female"/>
    <n v="26.4"/>
    <n v="0"/>
    <x v="0"/>
    <x v="1"/>
    <n v="19539.242999999999"/>
  </r>
  <r>
    <n v="21"/>
    <s v="male"/>
    <n v="28.975000000000001"/>
    <n v="0"/>
    <x v="1"/>
    <x v="2"/>
    <n v="1906.35825"/>
  </r>
  <r>
    <n v="64"/>
    <s v="male"/>
    <n v="37.905000000000001"/>
    <n v="0"/>
    <x v="1"/>
    <x v="2"/>
    <n v="14210.53595"/>
  </r>
  <r>
    <n v="58"/>
    <s v="female"/>
    <n v="22.77"/>
    <n v="0"/>
    <x v="1"/>
    <x v="1"/>
    <n v="11833.782300000001"/>
  </r>
  <r>
    <n v="24"/>
    <s v="male"/>
    <n v="33.630000000000003"/>
    <n v="4"/>
    <x v="1"/>
    <x v="3"/>
    <n v="17128.426080000001"/>
  </r>
  <r>
    <n v="31"/>
    <s v="male"/>
    <n v="27.645"/>
    <n v="2"/>
    <x v="1"/>
    <x v="3"/>
    <n v="5031.26955"/>
  </r>
  <r>
    <n v="39"/>
    <s v="female"/>
    <n v="22.8"/>
    <n v="3"/>
    <x v="1"/>
    <x v="3"/>
    <n v="7985.8149999999996"/>
  </r>
  <r>
    <n v="47"/>
    <s v="female"/>
    <n v="27.83"/>
    <n v="0"/>
    <x v="0"/>
    <x v="1"/>
    <n v="23065.420699999999"/>
  </r>
  <r>
    <n v="30"/>
    <s v="male"/>
    <n v="37.43"/>
    <n v="3"/>
    <x v="1"/>
    <x v="3"/>
    <n v="5428.7277000000004"/>
  </r>
  <r>
    <n v="18"/>
    <s v="male"/>
    <n v="38.17"/>
    <n v="0"/>
    <x v="0"/>
    <x v="1"/>
    <n v="36307.798300000002"/>
  </r>
  <r>
    <n v="22"/>
    <s v="female"/>
    <n v="34.58"/>
    <n v="2"/>
    <x v="1"/>
    <x v="3"/>
    <n v="3925.7582000000002"/>
  </r>
  <r>
    <n v="23"/>
    <s v="male"/>
    <n v="35.200000000000003"/>
    <n v="1"/>
    <x v="1"/>
    <x v="0"/>
    <n v="2416.9549999999999"/>
  </r>
  <r>
    <n v="33"/>
    <s v="male"/>
    <n v="27.1"/>
    <n v="1"/>
    <x v="0"/>
    <x v="0"/>
    <n v="19040.876"/>
  </r>
  <r>
    <n v="27"/>
    <s v="male"/>
    <n v="26.03"/>
    <n v="0"/>
    <x v="1"/>
    <x v="3"/>
    <n v="3070.8087"/>
  </r>
  <r>
    <n v="45"/>
    <s v="female"/>
    <n v="25.175000000000001"/>
    <n v="2"/>
    <x v="1"/>
    <x v="3"/>
    <n v="9095.0682500000003"/>
  </r>
  <r>
    <n v="57"/>
    <s v="female"/>
    <n v="31.824999999999999"/>
    <n v="0"/>
    <x v="1"/>
    <x v="2"/>
    <n v="11842.623750000001"/>
  </r>
  <r>
    <n v="47"/>
    <s v="male"/>
    <n v="32.299999999999997"/>
    <n v="1"/>
    <x v="1"/>
    <x v="0"/>
    <n v="8062.7640000000001"/>
  </r>
  <r>
    <n v="42"/>
    <s v="female"/>
    <n v="29"/>
    <n v="1"/>
    <x v="1"/>
    <x v="0"/>
    <n v="7050.6419999999998"/>
  </r>
  <r>
    <n v="64"/>
    <s v="female"/>
    <n v="39.700000000000003"/>
    <n v="0"/>
    <x v="1"/>
    <x v="0"/>
    <n v="14319.031000000001"/>
  </r>
  <r>
    <n v="38"/>
    <s v="female"/>
    <n v="19.475000000000001"/>
    <n v="2"/>
    <x v="1"/>
    <x v="2"/>
    <n v="6933.2422500000002"/>
  </r>
  <r>
    <n v="61"/>
    <s v="male"/>
    <n v="36.1"/>
    <n v="3"/>
    <x v="1"/>
    <x v="0"/>
    <n v="27941.28758"/>
  </r>
  <r>
    <n v="53"/>
    <s v="female"/>
    <n v="26.7"/>
    <n v="2"/>
    <x v="1"/>
    <x v="0"/>
    <n v="11150.78"/>
  </r>
  <r>
    <n v="44"/>
    <s v="female"/>
    <n v="36.479999999999997"/>
    <n v="0"/>
    <x v="1"/>
    <x v="3"/>
    <n v="12797.20962"/>
  </r>
  <r>
    <n v="19"/>
    <s v="female"/>
    <n v="28.88"/>
    <n v="0"/>
    <x v="0"/>
    <x v="2"/>
    <n v="17748.5062"/>
  </r>
  <r>
    <n v="41"/>
    <s v="male"/>
    <n v="34.200000000000003"/>
    <n v="2"/>
    <x v="1"/>
    <x v="2"/>
    <n v="7261.741"/>
  </r>
  <r>
    <n v="51"/>
    <s v="male"/>
    <n v="33.33"/>
    <n v="3"/>
    <x v="1"/>
    <x v="1"/>
    <n v="10560.4917"/>
  </r>
  <r>
    <n v="40"/>
    <s v="male"/>
    <n v="32.299999999999997"/>
    <n v="2"/>
    <x v="1"/>
    <x v="2"/>
    <n v="6986.6970000000001"/>
  </r>
  <r>
    <n v="45"/>
    <s v="male"/>
    <n v="39.805"/>
    <n v="0"/>
    <x v="1"/>
    <x v="3"/>
    <n v="7448.4039499999999"/>
  </r>
  <r>
    <n v="35"/>
    <s v="male"/>
    <n v="34.32"/>
    <n v="3"/>
    <x v="1"/>
    <x v="1"/>
    <n v="5934.3797999999997"/>
  </r>
  <r>
    <n v="53"/>
    <s v="male"/>
    <n v="28.88"/>
    <n v="0"/>
    <x v="1"/>
    <x v="2"/>
    <n v="9869.8101999999999"/>
  </r>
  <r>
    <n v="30"/>
    <s v="male"/>
    <n v="24.4"/>
    <n v="3"/>
    <x v="0"/>
    <x v="0"/>
    <n v="18259.216"/>
  </r>
  <r>
    <n v="18"/>
    <s v="male"/>
    <n v="41.14"/>
    <n v="0"/>
    <x v="1"/>
    <x v="1"/>
    <n v="1146.7965999999999"/>
  </r>
  <r>
    <n v="51"/>
    <s v="male"/>
    <n v="35.97"/>
    <n v="1"/>
    <x v="1"/>
    <x v="1"/>
    <n v="9386.1612999999998"/>
  </r>
  <r>
    <n v="50"/>
    <s v="female"/>
    <n v="27.6"/>
    <n v="1"/>
    <x v="0"/>
    <x v="0"/>
    <n v="24520.263999999999"/>
  </r>
  <r>
    <n v="31"/>
    <s v="female"/>
    <n v="29.26"/>
    <n v="1"/>
    <x v="1"/>
    <x v="1"/>
    <n v="4350.5144"/>
  </r>
  <r>
    <n v="35"/>
    <s v="female"/>
    <n v="27.7"/>
    <n v="3"/>
    <x v="1"/>
    <x v="0"/>
    <n v="6414.1779999999999"/>
  </r>
  <r>
    <n v="60"/>
    <s v="male"/>
    <n v="36.954999999999998"/>
    <n v="0"/>
    <x v="1"/>
    <x v="3"/>
    <n v="12741.167450000001"/>
  </r>
  <r>
    <n v="21"/>
    <s v="male"/>
    <n v="36.86"/>
    <n v="0"/>
    <x v="1"/>
    <x v="2"/>
    <n v="1917.3184000000001"/>
  </r>
  <r>
    <n v="29"/>
    <s v="male"/>
    <n v="22.515000000000001"/>
    <n v="3"/>
    <x v="1"/>
    <x v="3"/>
    <n v="5209.5788499999999"/>
  </r>
  <r>
    <n v="62"/>
    <s v="female"/>
    <n v="29.92"/>
    <n v="0"/>
    <x v="1"/>
    <x v="1"/>
    <n v="13457.960800000001"/>
  </r>
  <r>
    <n v="39"/>
    <s v="female"/>
    <n v="41.8"/>
    <n v="0"/>
    <x v="1"/>
    <x v="1"/>
    <n v="5662.2250000000004"/>
  </r>
  <r>
    <n v="19"/>
    <s v="male"/>
    <n v="27.6"/>
    <n v="0"/>
    <x v="1"/>
    <x v="0"/>
    <n v="1252.4069999999999"/>
  </r>
  <r>
    <n v="22"/>
    <s v="female"/>
    <n v="23.18"/>
    <n v="0"/>
    <x v="1"/>
    <x v="3"/>
    <n v="2731.9122000000002"/>
  </r>
  <r>
    <n v="53"/>
    <s v="male"/>
    <n v="20.9"/>
    <n v="0"/>
    <x v="0"/>
    <x v="1"/>
    <n v="21195.817999999999"/>
  </r>
  <r>
    <n v="39"/>
    <s v="female"/>
    <n v="31.92"/>
    <n v="2"/>
    <x v="1"/>
    <x v="2"/>
    <n v="7209.4917999999998"/>
  </r>
  <r>
    <n v="27"/>
    <s v="male"/>
    <n v="28.5"/>
    <n v="0"/>
    <x v="0"/>
    <x v="2"/>
    <n v="18310.741999999998"/>
  </r>
  <r>
    <n v="30"/>
    <s v="male"/>
    <n v="44.22"/>
    <n v="2"/>
    <x v="1"/>
    <x v="1"/>
    <n v="4266.1657999999998"/>
  </r>
  <r>
    <n v="30"/>
    <s v="female"/>
    <n v="22.895"/>
    <n v="1"/>
    <x v="1"/>
    <x v="3"/>
    <n v="4719.52405"/>
  </r>
  <r>
    <n v="58"/>
    <s v="female"/>
    <n v="33.1"/>
    <n v="0"/>
    <x v="1"/>
    <x v="0"/>
    <n v="11848.141"/>
  </r>
  <r>
    <n v="33"/>
    <s v="male"/>
    <n v="24.795000000000002"/>
    <n v="0"/>
    <x v="0"/>
    <x v="3"/>
    <n v="17904.527050000001"/>
  </r>
  <r>
    <n v="42"/>
    <s v="female"/>
    <n v="26.18"/>
    <n v="1"/>
    <x v="1"/>
    <x v="1"/>
    <n v="7046.7222000000002"/>
  </r>
  <r>
    <n v="64"/>
    <s v="female"/>
    <n v="35.97"/>
    <n v="0"/>
    <x v="1"/>
    <x v="1"/>
    <n v="14313.846299999999"/>
  </r>
  <r>
    <n v="21"/>
    <s v="male"/>
    <n v="22.3"/>
    <n v="1"/>
    <x v="1"/>
    <x v="0"/>
    <n v="2103.08"/>
  </r>
  <r>
    <n v="18"/>
    <s v="female"/>
    <n v="42.24"/>
    <n v="0"/>
    <x v="0"/>
    <x v="1"/>
    <n v="38792.685599999997"/>
  </r>
  <r>
    <n v="23"/>
    <s v="male"/>
    <n v="26.51"/>
    <n v="0"/>
    <x v="1"/>
    <x v="1"/>
    <n v="1815.8759"/>
  </r>
  <r>
    <n v="45"/>
    <s v="female"/>
    <n v="35.814999999999998"/>
    <n v="0"/>
    <x v="1"/>
    <x v="2"/>
    <n v="7731.8578500000003"/>
  </r>
  <r>
    <n v="40"/>
    <s v="female"/>
    <n v="41.42"/>
    <n v="1"/>
    <x v="1"/>
    <x v="2"/>
    <n v="28476.734990000001"/>
  </r>
  <r>
    <n v="19"/>
    <s v="female"/>
    <n v="36.575000000000003"/>
    <n v="0"/>
    <x v="1"/>
    <x v="2"/>
    <n v="2136.8822500000001"/>
  </r>
  <r>
    <n v="18"/>
    <s v="male"/>
    <n v="30.14"/>
    <n v="0"/>
    <x v="1"/>
    <x v="1"/>
    <n v="1131.5065999999999"/>
  </r>
  <r>
    <n v="25"/>
    <s v="male"/>
    <n v="25.84"/>
    <n v="1"/>
    <x v="1"/>
    <x v="3"/>
    <n v="3309.7926000000002"/>
  </r>
  <r>
    <n v="46"/>
    <s v="female"/>
    <n v="30.8"/>
    <n v="3"/>
    <x v="1"/>
    <x v="0"/>
    <n v="9414.92"/>
  </r>
  <r>
    <n v="33"/>
    <s v="female"/>
    <n v="42.94"/>
    <n v="3"/>
    <x v="1"/>
    <x v="2"/>
    <n v="6360.9935999999998"/>
  </r>
  <r>
    <n v="54"/>
    <s v="male"/>
    <n v="21.01"/>
    <n v="2"/>
    <x v="1"/>
    <x v="1"/>
    <n v="11013.7119"/>
  </r>
  <r>
    <n v="28"/>
    <s v="male"/>
    <n v="22.515000000000001"/>
    <n v="2"/>
    <x v="1"/>
    <x v="3"/>
    <n v="4428.8878500000001"/>
  </r>
  <r>
    <n v="36"/>
    <s v="male"/>
    <n v="34.43"/>
    <n v="2"/>
    <x v="1"/>
    <x v="1"/>
    <n v="5584.3056999999999"/>
  </r>
  <r>
    <n v="20"/>
    <s v="female"/>
    <n v="31.46"/>
    <n v="0"/>
    <x v="1"/>
    <x v="1"/>
    <n v="1877.9294"/>
  </r>
  <r>
    <n v="24"/>
    <s v="female"/>
    <n v="24.225000000000001"/>
    <n v="0"/>
    <x v="1"/>
    <x v="2"/>
    <n v="2842.7607499999999"/>
  </r>
  <r>
    <n v="23"/>
    <s v="male"/>
    <n v="37.1"/>
    <n v="3"/>
    <x v="1"/>
    <x v="0"/>
    <n v="3597.596"/>
  </r>
  <r>
    <n v="47"/>
    <s v="female"/>
    <n v="26.125"/>
    <n v="1"/>
    <x v="0"/>
    <x v="3"/>
    <n v="23401.30575"/>
  </r>
  <r>
    <n v="33"/>
    <s v="female"/>
    <n v="35.53"/>
    <n v="0"/>
    <x v="0"/>
    <x v="2"/>
    <n v="55135.402090000003"/>
  </r>
  <r>
    <n v="45"/>
    <s v="male"/>
    <n v="33.700000000000003"/>
    <n v="1"/>
    <x v="1"/>
    <x v="0"/>
    <n v="7445.9179999999997"/>
  </r>
  <r>
    <n v="26"/>
    <s v="male"/>
    <n v="17.670000000000002"/>
    <n v="0"/>
    <x v="1"/>
    <x v="2"/>
    <n v="2680.9493000000002"/>
  </r>
  <r>
    <n v="18"/>
    <s v="female"/>
    <n v="31.13"/>
    <n v="0"/>
    <x v="1"/>
    <x v="1"/>
    <n v="1621.8827000000001"/>
  </r>
  <r>
    <n v="44"/>
    <s v="female"/>
    <n v="29.81"/>
    <n v="2"/>
    <x v="1"/>
    <x v="1"/>
    <n v="8219.2039000000004"/>
  </r>
  <r>
    <n v="60"/>
    <s v="male"/>
    <n v="24.32"/>
    <n v="0"/>
    <x v="1"/>
    <x v="2"/>
    <n v="12523.604799999999"/>
  </r>
  <r>
    <n v="64"/>
    <s v="female"/>
    <n v="31.824999999999999"/>
    <n v="2"/>
    <x v="1"/>
    <x v="3"/>
    <n v="16069.08475"/>
  </r>
  <r>
    <n v="56"/>
    <s v="male"/>
    <n v="31.79"/>
    <n v="2"/>
    <x v="0"/>
    <x v="1"/>
    <n v="43813.866099999999"/>
  </r>
  <r>
    <n v="36"/>
    <s v="male"/>
    <n v="28.024999999999999"/>
    <n v="1"/>
    <x v="0"/>
    <x v="3"/>
    <n v="20773.62775"/>
  </r>
  <r>
    <n v="41"/>
    <s v="male"/>
    <n v="30.78"/>
    <n v="3"/>
    <x v="0"/>
    <x v="3"/>
    <n v="39597.407200000001"/>
  </r>
  <r>
    <n v="39"/>
    <s v="male"/>
    <n v="21.85"/>
    <n v="1"/>
    <x v="1"/>
    <x v="2"/>
    <n v="6117.4944999999998"/>
  </r>
  <r>
    <n v="63"/>
    <s v="male"/>
    <n v="33.1"/>
    <n v="0"/>
    <x v="1"/>
    <x v="0"/>
    <n v="13393.755999999999"/>
  </r>
  <r>
    <n v="36"/>
    <s v="female"/>
    <n v="25.84"/>
    <n v="0"/>
    <x v="1"/>
    <x v="2"/>
    <n v="5266.3656000000001"/>
  </r>
  <r>
    <n v="28"/>
    <s v="female"/>
    <n v="23.844999999999999"/>
    <n v="2"/>
    <x v="1"/>
    <x v="2"/>
    <n v="4719.7365499999996"/>
  </r>
  <r>
    <n v="58"/>
    <s v="male"/>
    <n v="34.39"/>
    <n v="0"/>
    <x v="1"/>
    <x v="2"/>
    <n v="11743.9341"/>
  </r>
  <r>
    <n v="36"/>
    <s v="male"/>
    <n v="33.82"/>
    <n v="1"/>
    <x v="1"/>
    <x v="2"/>
    <n v="5377.4578000000001"/>
  </r>
  <r>
    <n v="42"/>
    <s v="male"/>
    <n v="35.97"/>
    <n v="2"/>
    <x v="1"/>
    <x v="1"/>
    <n v="7160.3302999999996"/>
  </r>
  <r>
    <n v="36"/>
    <s v="male"/>
    <n v="31.5"/>
    <n v="0"/>
    <x v="1"/>
    <x v="0"/>
    <n v="4402.2330000000002"/>
  </r>
  <r>
    <n v="56"/>
    <s v="female"/>
    <n v="28.31"/>
    <n v="0"/>
    <x v="1"/>
    <x v="3"/>
    <n v="11657.7189"/>
  </r>
  <r>
    <n v="35"/>
    <s v="female"/>
    <n v="23.465"/>
    <n v="2"/>
    <x v="1"/>
    <x v="3"/>
    <n v="6402.2913500000004"/>
  </r>
  <r>
    <n v="59"/>
    <s v="female"/>
    <n v="31.35"/>
    <n v="0"/>
    <x v="1"/>
    <x v="2"/>
    <n v="12622.1795"/>
  </r>
  <r>
    <n v="21"/>
    <s v="male"/>
    <n v="31.1"/>
    <n v="0"/>
    <x v="1"/>
    <x v="0"/>
    <n v="1526.3119999999999"/>
  </r>
  <r>
    <n v="59"/>
    <s v="male"/>
    <n v="24.7"/>
    <n v="0"/>
    <x v="1"/>
    <x v="3"/>
    <n v="12323.936"/>
  </r>
  <r>
    <n v="23"/>
    <s v="female"/>
    <n v="32.78"/>
    <n v="2"/>
    <x v="0"/>
    <x v="1"/>
    <n v="36021.011200000001"/>
  </r>
  <r>
    <n v="57"/>
    <s v="female"/>
    <n v="29.81"/>
    <n v="0"/>
    <x v="0"/>
    <x v="1"/>
    <n v="27533.912899999999"/>
  </r>
  <r>
    <n v="53"/>
    <s v="male"/>
    <n v="30.495000000000001"/>
    <n v="0"/>
    <x v="1"/>
    <x v="3"/>
    <n v="10072.055050000001"/>
  </r>
  <r>
    <n v="60"/>
    <s v="female"/>
    <n v="32.450000000000003"/>
    <n v="0"/>
    <x v="0"/>
    <x v="1"/>
    <n v="45008.955499999996"/>
  </r>
  <r>
    <n v="51"/>
    <s v="female"/>
    <n v="34.200000000000003"/>
    <n v="1"/>
    <x v="1"/>
    <x v="0"/>
    <n v="9872.7009999999991"/>
  </r>
  <r>
    <n v="23"/>
    <s v="male"/>
    <n v="50.38"/>
    <n v="1"/>
    <x v="1"/>
    <x v="1"/>
    <n v="2438.0551999999998"/>
  </r>
  <r>
    <n v="27"/>
    <s v="female"/>
    <n v="24.1"/>
    <n v="0"/>
    <x v="1"/>
    <x v="0"/>
    <n v="2974.1260000000002"/>
  </r>
  <r>
    <n v="55"/>
    <s v="male"/>
    <n v="32.774999999999999"/>
    <n v="0"/>
    <x v="1"/>
    <x v="2"/>
    <n v="10601.632250000001"/>
  </r>
  <r>
    <n v="37"/>
    <s v="female"/>
    <n v="30.78"/>
    <n v="0"/>
    <x v="0"/>
    <x v="3"/>
    <n v="37270.1512"/>
  </r>
  <r>
    <n v="61"/>
    <s v="male"/>
    <n v="32.299999999999997"/>
    <n v="2"/>
    <x v="1"/>
    <x v="2"/>
    <n v="14119.62"/>
  </r>
  <r>
    <n v="46"/>
    <s v="female"/>
    <n v="35.53"/>
    <n v="0"/>
    <x v="0"/>
    <x v="3"/>
    <n v="42111.664700000001"/>
  </r>
  <r>
    <n v="53"/>
    <s v="female"/>
    <n v="23.75"/>
    <n v="2"/>
    <x v="1"/>
    <x v="3"/>
    <n v="11729.6795"/>
  </r>
  <r>
    <n v="49"/>
    <s v="female"/>
    <n v="23.844999999999999"/>
    <n v="3"/>
    <x v="0"/>
    <x v="3"/>
    <n v="24106.912550000001"/>
  </r>
  <r>
    <n v="20"/>
    <s v="female"/>
    <n v="29.6"/>
    <n v="0"/>
    <x v="1"/>
    <x v="0"/>
    <n v="1875.3440000000001"/>
  </r>
  <r>
    <n v="48"/>
    <s v="female"/>
    <n v="33.11"/>
    <n v="0"/>
    <x v="0"/>
    <x v="1"/>
    <n v="40974.164900000003"/>
  </r>
  <r>
    <n v="25"/>
    <s v="male"/>
    <n v="24.13"/>
    <n v="0"/>
    <x v="0"/>
    <x v="2"/>
    <n v="15817.985699999999"/>
  </r>
  <r>
    <n v="25"/>
    <s v="female"/>
    <n v="32.229999999999997"/>
    <n v="1"/>
    <x v="1"/>
    <x v="1"/>
    <n v="18218.161390000001"/>
  </r>
  <r>
    <n v="57"/>
    <s v="male"/>
    <n v="28.1"/>
    <n v="0"/>
    <x v="1"/>
    <x v="0"/>
    <n v="10965.446"/>
  </r>
  <r>
    <n v="37"/>
    <s v="female"/>
    <n v="47.6"/>
    <n v="2"/>
    <x v="0"/>
    <x v="0"/>
    <n v="46113.510999999999"/>
  </r>
  <r>
    <n v="38"/>
    <s v="female"/>
    <n v="28"/>
    <n v="3"/>
    <x v="1"/>
    <x v="0"/>
    <n v="7151.0919999999996"/>
  </r>
  <r>
    <n v="55"/>
    <s v="female"/>
    <n v="33.534999999999997"/>
    <n v="2"/>
    <x v="1"/>
    <x v="2"/>
    <n v="12269.68865"/>
  </r>
  <r>
    <n v="36"/>
    <s v="female"/>
    <n v="19.855"/>
    <n v="0"/>
    <x v="1"/>
    <x v="3"/>
    <n v="5458.0464499999998"/>
  </r>
  <r>
    <n v="51"/>
    <s v="male"/>
    <n v="25.4"/>
    <n v="0"/>
    <x v="1"/>
    <x v="0"/>
    <n v="8782.4689999999991"/>
  </r>
  <r>
    <n v="40"/>
    <s v="male"/>
    <n v="29.9"/>
    <n v="2"/>
    <x v="1"/>
    <x v="0"/>
    <n v="6600.3609999999999"/>
  </r>
  <r>
    <n v="18"/>
    <s v="male"/>
    <n v="37.29"/>
    <n v="0"/>
    <x v="1"/>
    <x v="1"/>
    <n v="1141.4450999999999"/>
  </r>
  <r>
    <n v="57"/>
    <s v="male"/>
    <n v="43.7"/>
    <n v="1"/>
    <x v="1"/>
    <x v="0"/>
    <n v="11576.13"/>
  </r>
  <r>
    <n v="61"/>
    <s v="male"/>
    <n v="23.655000000000001"/>
    <n v="0"/>
    <x v="1"/>
    <x v="3"/>
    <n v="13129.603450000001"/>
  </r>
  <r>
    <n v="25"/>
    <s v="female"/>
    <n v="24.3"/>
    <n v="3"/>
    <x v="1"/>
    <x v="0"/>
    <n v="4391.652"/>
  </r>
  <r>
    <n v="50"/>
    <s v="male"/>
    <n v="36.200000000000003"/>
    <n v="0"/>
    <x v="1"/>
    <x v="0"/>
    <n v="8457.8179999999993"/>
  </r>
  <r>
    <n v="26"/>
    <s v="female"/>
    <n v="29.48"/>
    <n v="1"/>
    <x v="1"/>
    <x v="1"/>
    <n v="3392.3652000000002"/>
  </r>
  <r>
    <n v="42"/>
    <s v="male"/>
    <n v="24.86"/>
    <n v="0"/>
    <x v="1"/>
    <x v="1"/>
    <n v="5966.8873999999996"/>
  </r>
  <r>
    <n v="43"/>
    <s v="male"/>
    <n v="30.1"/>
    <n v="1"/>
    <x v="1"/>
    <x v="0"/>
    <n v="6849.0259999999998"/>
  </r>
  <r>
    <n v="44"/>
    <s v="male"/>
    <n v="21.85"/>
    <n v="3"/>
    <x v="1"/>
    <x v="3"/>
    <n v="8891.1394999999993"/>
  </r>
  <r>
    <n v="23"/>
    <s v="female"/>
    <n v="28.12"/>
    <n v="0"/>
    <x v="1"/>
    <x v="2"/>
    <n v="2690.1138000000001"/>
  </r>
  <r>
    <n v="49"/>
    <s v="female"/>
    <n v="27.1"/>
    <n v="1"/>
    <x v="1"/>
    <x v="0"/>
    <n v="26140.3603"/>
  </r>
  <r>
    <n v="33"/>
    <s v="male"/>
    <n v="33.44"/>
    <n v="5"/>
    <x v="1"/>
    <x v="1"/>
    <n v="6653.7885999999999"/>
  </r>
  <r>
    <n v="41"/>
    <s v="male"/>
    <n v="28.8"/>
    <n v="1"/>
    <x v="1"/>
    <x v="0"/>
    <n v="6282.2349999999997"/>
  </r>
  <r>
    <n v="37"/>
    <s v="female"/>
    <n v="29.5"/>
    <n v="2"/>
    <x v="1"/>
    <x v="0"/>
    <n v="6311.9520000000002"/>
  </r>
  <r>
    <n v="22"/>
    <s v="male"/>
    <n v="34.799999999999997"/>
    <n v="3"/>
    <x v="1"/>
    <x v="0"/>
    <n v="3443.0639999999999"/>
  </r>
  <r>
    <n v="23"/>
    <s v="male"/>
    <n v="27.36"/>
    <n v="1"/>
    <x v="1"/>
    <x v="2"/>
    <n v="2789.0574000000001"/>
  </r>
  <r>
    <n v="21"/>
    <s v="female"/>
    <n v="22.135000000000002"/>
    <n v="0"/>
    <x v="1"/>
    <x v="3"/>
    <n v="2585.8506499999999"/>
  </r>
  <r>
    <n v="51"/>
    <s v="female"/>
    <n v="37.049999999999997"/>
    <n v="3"/>
    <x v="0"/>
    <x v="3"/>
    <n v="46255.112500000003"/>
  </r>
  <r>
    <n v="25"/>
    <s v="male"/>
    <n v="26.695"/>
    <n v="4"/>
    <x v="1"/>
    <x v="2"/>
    <n v="4877.9810500000003"/>
  </r>
  <r>
    <n v="32"/>
    <s v="male"/>
    <n v="28.93"/>
    <n v="1"/>
    <x v="0"/>
    <x v="1"/>
    <n v="19719.6947"/>
  </r>
  <r>
    <n v="57"/>
    <s v="male"/>
    <n v="28.975000000000001"/>
    <n v="0"/>
    <x v="0"/>
    <x v="3"/>
    <n v="27218.437249999999"/>
  </r>
  <r>
    <n v="36"/>
    <s v="female"/>
    <n v="30.02"/>
    <n v="0"/>
    <x v="1"/>
    <x v="2"/>
    <n v="5272.1758"/>
  </r>
  <r>
    <n v="22"/>
    <s v="male"/>
    <n v="39.5"/>
    <n v="0"/>
    <x v="1"/>
    <x v="0"/>
    <n v="1682.597"/>
  </r>
  <r>
    <n v="57"/>
    <s v="male"/>
    <n v="33.630000000000003"/>
    <n v="1"/>
    <x v="1"/>
    <x v="2"/>
    <n v="11945.1327"/>
  </r>
  <r>
    <n v="64"/>
    <s v="female"/>
    <n v="26.885000000000002"/>
    <n v="0"/>
    <x v="0"/>
    <x v="2"/>
    <n v="29330.98315"/>
  </r>
  <r>
    <n v="36"/>
    <s v="female"/>
    <n v="29.04"/>
    <n v="4"/>
    <x v="1"/>
    <x v="1"/>
    <n v="7243.8136000000004"/>
  </r>
  <r>
    <n v="54"/>
    <s v="male"/>
    <n v="24.035"/>
    <n v="0"/>
    <x v="1"/>
    <x v="3"/>
    <n v="10422.916649999999"/>
  </r>
  <r>
    <n v="47"/>
    <s v="male"/>
    <n v="38.94"/>
    <n v="2"/>
    <x v="0"/>
    <x v="1"/>
    <n v="44202.653599999998"/>
  </r>
  <r>
    <n v="62"/>
    <s v="male"/>
    <n v="32.11"/>
    <n v="0"/>
    <x v="1"/>
    <x v="3"/>
    <n v="13555.0049"/>
  </r>
  <r>
    <n v="61"/>
    <s v="female"/>
    <n v="44"/>
    <n v="0"/>
    <x v="1"/>
    <x v="0"/>
    <n v="13063.883"/>
  </r>
  <r>
    <n v="43"/>
    <s v="female"/>
    <n v="20.045000000000002"/>
    <n v="2"/>
    <x v="0"/>
    <x v="3"/>
    <n v="19798.054550000001"/>
  </r>
  <r>
    <n v="19"/>
    <s v="male"/>
    <n v="25.555"/>
    <n v="1"/>
    <x v="1"/>
    <x v="2"/>
    <n v="2221.5644499999999"/>
  </r>
  <r>
    <n v="18"/>
    <s v="female"/>
    <n v="40.26"/>
    <n v="0"/>
    <x v="1"/>
    <x v="1"/>
    <n v="1634.5734"/>
  </r>
  <r>
    <n v="19"/>
    <s v="female"/>
    <n v="22.515000000000001"/>
    <n v="0"/>
    <x v="1"/>
    <x v="2"/>
    <n v="2117.3388500000001"/>
  </r>
  <r>
    <n v="49"/>
    <s v="male"/>
    <n v="22.515000000000001"/>
    <n v="0"/>
    <x v="1"/>
    <x v="3"/>
    <n v="8688.8588500000005"/>
  </r>
  <r>
    <n v="60"/>
    <s v="male"/>
    <n v="40.92"/>
    <n v="0"/>
    <x v="0"/>
    <x v="1"/>
    <n v="48673.558799999999"/>
  </r>
  <r>
    <n v="26"/>
    <s v="male"/>
    <n v="27.265000000000001"/>
    <n v="3"/>
    <x v="1"/>
    <x v="3"/>
    <n v="4661.2863500000003"/>
  </r>
  <r>
    <n v="49"/>
    <s v="male"/>
    <n v="36.85"/>
    <n v="0"/>
    <x v="1"/>
    <x v="1"/>
    <n v="8125.7844999999998"/>
  </r>
  <r>
    <n v="60"/>
    <s v="female"/>
    <n v="35.1"/>
    <n v="0"/>
    <x v="1"/>
    <x v="0"/>
    <n v="12644.589"/>
  </r>
  <r>
    <n v="26"/>
    <s v="female"/>
    <n v="29.355"/>
    <n v="2"/>
    <x v="1"/>
    <x v="3"/>
    <n v="4564.1914500000003"/>
  </r>
  <r>
    <n v="27"/>
    <s v="male"/>
    <n v="32.585000000000001"/>
    <n v="3"/>
    <x v="1"/>
    <x v="3"/>
    <n v="4846.9201499999999"/>
  </r>
  <r>
    <n v="44"/>
    <s v="female"/>
    <n v="32.340000000000003"/>
    <n v="1"/>
    <x v="1"/>
    <x v="1"/>
    <n v="7633.7205999999996"/>
  </r>
  <r>
    <n v="63"/>
    <s v="male"/>
    <n v="39.799999999999997"/>
    <n v="3"/>
    <x v="1"/>
    <x v="0"/>
    <n v="15170.069"/>
  </r>
  <r>
    <n v="32"/>
    <s v="female"/>
    <n v="24.6"/>
    <n v="0"/>
    <x v="0"/>
    <x v="0"/>
    <n v="17496.306"/>
  </r>
  <r>
    <n v="22"/>
    <s v="male"/>
    <n v="28.31"/>
    <n v="1"/>
    <x v="1"/>
    <x v="2"/>
    <n v="2639.0428999999999"/>
  </r>
  <r>
    <n v="18"/>
    <s v="male"/>
    <n v="31.73"/>
    <n v="0"/>
    <x v="0"/>
    <x v="3"/>
    <n v="33732.686699999998"/>
  </r>
  <r>
    <n v="59"/>
    <s v="female"/>
    <n v="26.695"/>
    <n v="3"/>
    <x v="1"/>
    <x v="2"/>
    <n v="14382.709049999999"/>
  </r>
  <r>
    <n v="44"/>
    <s v="female"/>
    <n v="27.5"/>
    <n v="1"/>
    <x v="1"/>
    <x v="0"/>
    <n v="7626.9930000000004"/>
  </r>
  <r>
    <n v="33"/>
    <s v="male"/>
    <n v="24.605"/>
    <n v="2"/>
    <x v="1"/>
    <x v="2"/>
    <n v="5257.5079500000002"/>
  </r>
  <r>
    <n v="24"/>
    <s v="female"/>
    <n v="33.99"/>
    <n v="0"/>
    <x v="1"/>
    <x v="1"/>
    <n v="2473.3341"/>
  </r>
  <r>
    <n v="43"/>
    <s v="female"/>
    <n v="26.885000000000002"/>
    <n v="0"/>
    <x v="0"/>
    <x v="2"/>
    <n v="21774.32215"/>
  </r>
  <r>
    <n v="45"/>
    <s v="male"/>
    <n v="22.895"/>
    <n v="0"/>
    <x v="0"/>
    <x v="3"/>
    <n v="35069.374519999998"/>
  </r>
  <r>
    <n v="61"/>
    <s v="female"/>
    <n v="28.2"/>
    <n v="0"/>
    <x v="1"/>
    <x v="0"/>
    <n v="13041.921"/>
  </r>
  <r>
    <n v="35"/>
    <s v="female"/>
    <n v="34.21"/>
    <n v="1"/>
    <x v="1"/>
    <x v="1"/>
    <n v="5245.2268999999997"/>
  </r>
  <r>
    <n v="62"/>
    <s v="female"/>
    <n v="25"/>
    <n v="0"/>
    <x v="1"/>
    <x v="0"/>
    <n v="13451.121999999999"/>
  </r>
  <r>
    <n v="62"/>
    <s v="female"/>
    <n v="33.200000000000003"/>
    <n v="0"/>
    <x v="1"/>
    <x v="0"/>
    <n v="13462.52"/>
  </r>
  <r>
    <n v="38"/>
    <s v="male"/>
    <n v="31"/>
    <n v="1"/>
    <x v="1"/>
    <x v="0"/>
    <n v="5488.2619999999997"/>
  </r>
  <r>
    <n v="34"/>
    <s v="male"/>
    <n v="35.814999999999998"/>
    <n v="0"/>
    <x v="1"/>
    <x v="2"/>
    <n v="4320.4108500000002"/>
  </r>
  <r>
    <n v="43"/>
    <s v="male"/>
    <n v="23.2"/>
    <n v="0"/>
    <x v="1"/>
    <x v="0"/>
    <n v="6250.4350000000004"/>
  </r>
  <r>
    <n v="50"/>
    <s v="male"/>
    <n v="32.11"/>
    <n v="2"/>
    <x v="1"/>
    <x v="3"/>
    <n v="25333.332839999999"/>
  </r>
  <r>
    <n v="19"/>
    <s v="female"/>
    <n v="23.4"/>
    <n v="2"/>
    <x v="1"/>
    <x v="0"/>
    <n v="2913.569"/>
  </r>
  <r>
    <n v="57"/>
    <s v="female"/>
    <n v="20.100000000000001"/>
    <n v="1"/>
    <x v="1"/>
    <x v="0"/>
    <n v="12032.325999999999"/>
  </r>
  <r>
    <n v="62"/>
    <s v="female"/>
    <n v="39.159999999999997"/>
    <n v="0"/>
    <x v="1"/>
    <x v="1"/>
    <n v="13470.804400000001"/>
  </r>
  <r>
    <n v="41"/>
    <s v="male"/>
    <n v="34.21"/>
    <n v="1"/>
    <x v="1"/>
    <x v="1"/>
    <n v="6289.7548999999999"/>
  </r>
  <r>
    <n v="26"/>
    <s v="male"/>
    <n v="46.53"/>
    <n v="1"/>
    <x v="1"/>
    <x v="1"/>
    <n v="2927.0646999999999"/>
  </r>
  <r>
    <n v="39"/>
    <s v="female"/>
    <n v="32.5"/>
    <n v="1"/>
    <x v="1"/>
    <x v="0"/>
    <n v="6238.2979999999998"/>
  </r>
  <r>
    <n v="46"/>
    <s v="male"/>
    <n v="25.8"/>
    <n v="5"/>
    <x v="1"/>
    <x v="0"/>
    <n v="10096.969999999999"/>
  </r>
  <r>
    <n v="45"/>
    <s v="female"/>
    <n v="35.299999999999997"/>
    <n v="0"/>
    <x v="1"/>
    <x v="0"/>
    <n v="7348.1419999999998"/>
  </r>
  <r>
    <n v="32"/>
    <s v="male"/>
    <n v="37.18"/>
    <n v="2"/>
    <x v="1"/>
    <x v="1"/>
    <n v="4673.3922000000002"/>
  </r>
  <r>
    <n v="59"/>
    <s v="female"/>
    <n v="27.5"/>
    <n v="0"/>
    <x v="1"/>
    <x v="0"/>
    <n v="12233.828"/>
  </r>
  <r>
    <n v="44"/>
    <s v="male"/>
    <n v="29.734999999999999"/>
    <n v="2"/>
    <x v="1"/>
    <x v="3"/>
    <n v="32108.662820000001"/>
  </r>
  <r>
    <n v="39"/>
    <s v="female"/>
    <n v="24.225000000000001"/>
    <n v="5"/>
    <x v="1"/>
    <x v="2"/>
    <n v="8965.7957499999993"/>
  </r>
  <r>
    <n v="18"/>
    <s v="male"/>
    <n v="26.18"/>
    <n v="2"/>
    <x v="1"/>
    <x v="1"/>
    <n v="2304.0021999999999"/>
  </r>
  <r>
    <n v="53"/>
    <s v="male"/>
    <n v="29.48"/>
    <n v="0"/>
    <x v="1"/>
    <x v="1"/>
    <n v="9487.6442000000006"/>
  </r>
  <r>
    <n v="18"/>
    <s v="male"/>
    <n v="23.21"/>
    <n v="0"/>
    <x v="1"/>
    <x v="1"/>
    <n v="1121.8739"/>
  </r>
  <r>
    <n v="50"/>
    <s v="female"/>
    <n v="46.09"/>
    <n v="1"/>
    <x v="1"/>
    <x v="1"/>
    <n v="9549.5650999999998"/>
  </r>
  <r>
    <n v="18"/>
    <s v="female"/>
    <n v="40.185000000000002"/>
    <n v="0"/>
    <x v="1"/>
    <x v="3"/>
    <n v="2217.4691499999999"/>
  </r>
  <r>
    <n v="19"/>
    <s v="male"/>
    <n v="22.61"/>
    <n v="0"/>
    <x v="1"/>
    <x v="2"/>
    <n v="1628.4709"/>
  </r>
  <r>
    <n v="62"/>
    <s v="male"/>
    <n v="39.93"/>
    <n v="0"/>
    <x v="1"/>
    <x v="1"/>
    <n v="12982.8747"/>
  </r>
  <r>
    <n v="56"/>
    <s v="female"/>
    <n v="35.799999999999997"/>
    <n v="1"/>
    <x v="1"/>
    <x v="0"/>
    <n v="11674.13"/>
  </r>
  <r>
    <n v="42"/>
    <s v="male"/>
    <n v="35.799999999999997"/>
    <n v="2"/>
    <x v="1"/>
    <x v="0"/>
    <n v="7160.0940000000001"/>
  </r>
  <r>
    <n v="37"/>
    <s v="male"/>
    <n v="34.200000000000003"/>
    <n v="1"/>
    <x v="0"/>
    <x v="3"/>
    <n v="39047.285000000003"/>
  </r>
  <r>
    <n v="42"/>
    <s v="male"/>
    <n v="31.254999999999999"/>
    <n v="0"/>
    <x v="1"/>
    <x v="2"/>
    <n v="6358.7764500000003"/>
  </r>
  <r>
    <n v="25"/>
    <s v="male"/>
    <n v="29.7"/>
    <n v="3"/>
    <x v="0"/>
    <x v="0"/>
    <n v="19933.457999999999"/>
  </r>
  <r>
    <n v="57"/>
    <s v="male"/>
    <n v="18.335000000000001"/>
    <n v="0"/>
    <x v="1"/>
    <x v="3"/>
    <n v="11534.872649999999"/>
  </r>
  <r>
    <n v="51"/>
    <s v="male"/>
    <n v="42.9"/>
    <n v="2"/>
    <x v="0"/>
    <x v="1"/>
    <n v="47462.894"/>
  </r>
  <r>
    <n v="30"/>
    <s v="female"/>
    <n v="28.405000000000001"/>
    <n v="1"/>
    <x v="1"/>
    <x v="2"/>
    <n v="4527.1829500000003"/>
  </r>
  <r>
    <n v="44"/>
    <s v="male"/>
    <n v="30.2"/>
    <n v="2"/>
    <x v="0"/>
    <x v="0"/>
    <n v="38998.546000000002"/>
  </r>
  <r>
    <n v="34"/>
    <s v="male"/>
    <n v="27.835000000000001"/>
    <n v="1"/>
    <x v="0"/>
    <x v="2"/>
    <n v="20009.63365"/>
  </r>
  <r>
    <n v="31"/>
    <s v="male"/>
    <n v="39.49"/>
    <n v="1"/>
    <x v="1"/>
    <x v="1"/>
    <n v="3875.7341000000001"/>
  </r>
  <r>
    <n v="54"/>
    <s v="male"/>
    <n v="30.8"/>
    <n v="1"/>
    <x v="0"/>
    <x v="1"/>
    <n v="41999.519999999997"/>
  </r>
  <r>
    <n v="24"/>
    <s v="male"/>
    <n v="26.79"/>
    <n v="1"/>
    <x v="1"/>
    <x v="2"/>
    <n v="12609.88702"/>
  </r>
  <r>
    <n v="43"/>
    <s v="male"/>
    <n v="34.96"/>
    <n v="1"/>
    <x v="0"/>
    <x v="3"/>
    <n v="41034.221400000002"/>
  </r>
  <r>
    <n v="48"/>
    <s v="male"/>
    <n v="36.67"/>
    <n v="1"/>
    <x v="1"/>
    <x v="2"/>
    <n v="28468.919010000001"/>
  </r>
  <r>
    <n v="19"/>
    <s v="female"/>
    <n v="39.615000000000002"/>
    <n v="1"/>
    <x v="1"/>
    <x v="2"/>
    <n v="2730.1078499999999"/>
  </r>
  <r>
    <n v="29"/>
    <s v="female"/>
    <n v="25.9"/>
    <n v="0"/>
    <x v="1"/>
    <x v="0"/>
    <n v="3353.2840000000001"/>
  </r>
  <r>
    <n v="63"/>
    <s v="female"/>
    <n v="35.200000000000003"/>
    <n v="1"/>
    <x v="1"/>
    <x v="1"/>
    <n v="14474.674999999999"/>
  </r>
  <r>
    <n v="46"/>
    <s v="male"/>
    <n v="24.795000000000002"/>
    <n v="3"/>
    <x v="1"/>
    <x v="3"/>
    <n v="9500.5730500000009"/>
  </r>
  <r>
    <n v="52"/>
    <s v="male"/>
    <n v="36.765000000000001"/>
    <n v="2"/>
    <x v="1"/>
    <x v="2"/>
    <n v="26467.09737"/>
  </r>
  <r>
    <n v="35"/>
    <s v="male"/>
    <n v="27.1"/>
    <n v="1"/>
    <x v="1"/>
    <x v="0"/>
    <n v="4746.3440000000001"/>
  </r>
  <r>
    <n v="51"/>
    <s v="male"/>
    <n v="24.795000000000002"/>
    <n v="2"/>
    <x v="0"/>
    <x v="2"/>
    <n v="23967.38305"/>
  </r>
  <r>
    <n v="44"/>
    <s v="male"/>
    <n v="25.364999999999998"/>
    <n v="1"/>
    <x v="1"/>
    <x v="2"/>
    <n v="7518.0253499999999"/>
  </r>
  <r>
    <n v="21"/>
    <s v="male"/>
    <n v="25.745000000000001"/>
    <n v="2"/>
    <x v="1"/>
    <x v="3"/>
    <n v="3279.8685500000001"/>
  </r>
  <r>
    <n v="39"/>
    <s v="female"/>
    <n v="34.32"/>
    <n v="5"/>
    <x v="1"/>
    <x v="1"/>
    <n v="8596.8277999999991"/>
  </r>
  <r>
    <n v="50"/>
    <s v="female"/>
    <n v="28.16"/>
    <n v="3"/>
    <x v="1"/>
    <x v="1"/>
    <n v="10702.642400000001"/>
  </r>
  <r>
    <n v="34"/>
    <s v="female"/>
    <n v="23.56"/>
    <n v="0"/>
    <x v="1"/>
    <x v="3"/>
    <n v="4992.3764000000001"/>
  </r>
  <r>
    <n v="22"/>
    <s v="female"/>
    <n v="20.234999999999999"/>
    <n v="0"/>
    <x v="1"/>
    <x v="2"/>
    <n v="2527.8186500000002"/>
  </r>
  <r>
    <n v="19"/>
    <s v="female"/>
    <n v="40.5"/>
    <n v="0"/>
    <x v="1"/>
    <x v="0"/>
    <n v="1759.338"/>
  </r>
  <r>
    <n v="26"/>
    <s v="male"/>
    <n v="35.42"/>
    <n v="0"/>
    <x v="1"/>
    <x v="1"/>
    <n v="2322.6217999999999"/>
  </r>
  <r>
    <n v="29"/>
    <s v="male"/>
    <n v="22.895"/>
    <n v="0"/>
    <x v="0"/>
    <x v="3"/>
    <n v="16138.762049999999"/>
  </r>
  <r>
    <n v="48"/>
    <s v="male"/>
    <n v="40.15"/>
    <n v="0"/>
    <x v="1"/>
    <x v="1"/>
    <n v="7804.1605"/>
  </r>
  <r>
    <n v="26"/>
    <s v="male"/>
    <n v="29.15"/>
    <n v="1"/>
    <x v="1"/>
    <x v="1"/>
    <n v="2902.9065000000001"/>
  </r>
  <r>
    <n v="45"/>
    <s v="female"/>
    <n v="39.994999999999997"/>
    <n v="3"/>
    <x v="1"/>
    <x v="3"/>
    <n v="9704.6680500000002"/>
  </r>
  <r>
    <n v="36"/>
    <s v="female"/>
    <n v="29.92"/>
    <n v="0"/>
    <x v="1"/>
    <x v="1"/>
    <n v="4889.0367999999999"/>
  </r>
  <r>
    <n v="54"/>
    <s v="male"/>
    <n v="25.46"/>
    <n v="1"/>
    <x v="1"/>
    <x v="3"/>
    <n v="25517.11363"/>
  </r>
  <r>
    <n v="34"/>
    <s v="male"/>
    <n v="21.375"/>
    <n v="0"/>
    <x v="1"/>
    <x v="3"/>
    <n v="4500.33925"/>
  </r>
  <r>
    <n v="31"/>
    <s v="male"/>
    <n v="25.9"/>
    <n v="3"/>
    <x v="0"/>
    <x v="0"/>
    <n v="19199.944"/>
  </r>
  <r>
    <n v="27"/>
    <s v="female"/>
    <n v="30.59"/>
    <n v="1"/>
    <x v="1"/>
    <x v="3"/>
    <n v="16796.411940000002"/>
  </r>
  <r>
    <n v="20"/>
    <s v="male"/>
    <n v="30.114999999999998"/>
    <n v="5"/>
    <x v="1"/>
    <x v="3"/>
    <n v="4915.0598499999996"/>
  </r>
  <r>
    <n v="44"/>
    <s v="female"/>
    <n v="25.8"/>
    <n v="1"/>
    <x v="1"/>
    <x v="0"/>
    <n v="7624.63"/>
  </r>
  <r>
    <n v="43"/>
    <s v="male"/>
    <n v="30.114999999999998"/>
    <n v="3"/>
    <x v="1"/>
    <x v="2"/>
    <n v="8410.0468500000006"/>
  </r>
  <r>
    <n v="45"/>
    <s v="female"/>
    <n v="27.645"/>
    <n v="1"/>
    <x v="1"/>
    <x v="2"/>
    <n v="28340.188849999999"/>
  </r>
  <r>
    <n v="34"/>
    <s v="male"/>
    <n v="34.674999999999997"/>
    <n v="0"/>
    <x v="1"/>
    <x v="3"/>
    <n v="4518.8262500000001"/>
  </r>
  <r>
    <n v="24"/>
    <s v="female"/>
    <n v="20.52"/>
    <n v="0"/>
    <x v="0"/>
    <x v="3"/>
    <n v="14571.890799999999"/>
  </r>
  <r>
    <n v="26"/>
    <s v="female"/>
    <n v="19.8"/>
    <n v="1"/>
    <x v="1"/>
    <x v="0"/>
    <n v="3378.91"/>
  </r>
  <r>
    <n v="38"/>
    <s v="female"/>
    <n v="27.835000000000001"/>
    <n v="2"/>
    <x v="1"/>
    <x v="3"/>
    <n v="7144.86265"/>
  </r>
  <r>
    <n v="50"/>
    <s v="female"/>
    <n v="31.6"/>
    <n v="2"/>
    <x v="1"/>
    <x v="0"/>
    <n v="10118.424000000001"/>
  </r>
  <r>
    <n v="38"/>
    <s v="male"/>
    <n v="28.27"/>
    <n v="1"/>
    <x v="1"/>
    <x v="1"/>
    <n v="5484.4673000000003"/>
  </r>
  <r>
    <n v="27"/>
    <s v="female"/>
    <n v="20.045000000000002"/>
    <n v="3"/>
    <x v="0"/>
    <x v="2"/>
    <n v="16420.494549999999"/>
  </r>
  <r>
    <n v="39"/>
    <s v="female"/>
    <n v="23.274999999999999"/>
    <n v="3"/>
    <x v="1"/>
    <x v="3"/>
    <n v="7986.4752500000004"/>
  </r>
  <r>
    <n v="39"/>
    <s v="female"/>
    <n v="34.1"/>
    <n v="3"/>
    <x v="1"/>
    <x v="0"/>
    <n v="7418.5219999999999"/>
  </r>
  <r>
    <n v="63"/>
    <s v="female"/>
    <n v="36.85"/>
    <n v="0"/>
    <x v="1"/>
    <x v="1"/>
    <n v="13887.968500000001"/>
  </r>
  <r>
    <n v="33"/>
    <s v="female"/>
    <n v="36.29"/>
    <n v="3"/>
    <x v="1"/>
    <x v="3"/>
    <n v="6551.7501000000002"/>
  </r>
  <r>
    <n v="36"/>
    <s v="female"/>
    <n v="26.885000000000002"/>
    <n v="0"/>
    <x v="1"/>
    <x v="2"/>
    <n v="5267.8181500000001"/>
  </r>
  <r>
    <n v="30"/>
    <s v="male"/>
    <n v="22.99"/>
    <n v="2"/>
    <x v="0"/>
    <x v="2"/>
    <n v="17361.766100000001"/>
  </r>
  <r>
    <n v="24"/>
    <s v="male"/>
    <n v="32.700000000000003"/>
    <n v="0"/>
    <x v="0"/>
    <x v="0"/>
    <n v="34472.841"/>
  </r>
  <r>
    <n v="24"/>
    <s v="male"/>
    <n v="25.8"/>
    <n v="0"/>
    <x v="1"/>
    <x v="0"/>
    <n v="1972.95"/>
  </r>
  <r>
    <n v="48"/>
    <s v="male"/>
    <n v="29.6"/>
    <n v="0"/>
    <x v="1"/>
    <x v="0"/>
    <n v="21232.182260000001"/>
  </r>
  <r>
    <n v="47"/>
    <s v="male"/>
    <n v="19.190000000000001"/>
    <n v="1"/>
    <x v="1"/>
    <x v="3"/>
    <n v="8627.5411000000004"/>
  </r>
  <r>
    <n v="29"/>
    <s v="male"/>
    <n v="31.73"/>
    <n v="2"/>
    <x v="1"/>
    <x v="2"/>
    <n v="4433.3877000000002"/>
  </r>
  <r>
    <n v="28"/>
    <s v="male"/>
    <n v="29.26"/>
    <n v="2"/>
    <x v="1"/>
    <x v="3"/>
    <n v="4438.2633999999998"/>
  </r>
  <r>
    <n v="47"/>
    <s v="male"/>
    <n v="28.215"/>
    <n v="3"/>
    <x v="0"/>
    <x v="2"/>
    <n v="24915.220850000002"/>
  </r>
  <r>
    <n v="25"/>
    <s v="male"/>
    <n v="24.984999999999999"/>
    <n v="2"/>
    <x v="1"/>
    <x v="3"/>
    <n v="23241.47453"/>
  </r>
  <r>
    <n v="51"/>
    <s v="male"/>
    <n v="27.74"/>
    <n v="1"/>
    <x v="1"/>
    <x v="3"/>
    <n v="9957.7216000000008"/>
  </r>
  <r>
    <n v="48"/>
    <s v="female"/>
    <n v="22.8"/>
    <n v="0"/>
    <x v="1"/>
    <x v="0"/>
    <n v="8269.0439999999999"/>
  </r>
  <r>
    <n v="43"/>
    <s v="male"/>
    <n v="20.13"/>
    <n v="2"/>
    <x v="0"/>
    <x v="1"/>
    <n v="18767.737700000001"/>
  </r>
  <r>
    <n v="61"/>
    <s v="female"/>
    <n v="33.33"/>
    <n v="4"/>
    <x v="1"/>
    <x v="1"/>
    <n v="36580.282160000002"/>
  </r>
  <r>
    <n v="48"/>
    <s v="male"/>
    <n v="32.299999999999997"/>
    <n v="1"/>
    <x v="1"/>
    <x v="2"/>
    <n v="8765.2489999999998"/>
  </r>
  <r>
    <n v="38"/>
    <s v="female"/>
    <n v="27.6"/>
    <n v="0"/>
    <x v="1"/>
    <x v="0"/>
    <n v="5383.5360000000001"/>
  </r>
  <r>
    <n v="59"/>
    <s v="male"/>
    <n v="25.46"/>
    <n v="0"/>
    <x v="1"/>
    <x v="2"/>
    <n v="12124.992399999999"/>
  </r>
  <r>
    <n v="19"/>
    <s v="female"/>
    <n v="24.605"/>
    <n v="1"/>
    <x v="1"/>
    <x v="2"/>
    <n v="2709.24395"/>
  </r>
  <r>
    <n v="26"/>
    <s v="female"/>
    <n v="34.200000000000003"/>
    <n v="2"/>
    <x v="1"/>
    <x v="0"/>
    <n v="3987.9259999999999"/>
  </r>
  <r>
    <n v="54"/>
    <s v="female"/>
    <n v="35.814999999999998"/>
    <n v="3"/>
    <x v="1"/>
    <x v="2"/>
    <n v="12495.290849999999"/>
  </r>
  <r>
    <n v="21"/>
    <s v="female"/>
    <n v="32.68"/>
    <n v="2"/>
    <x v="1"/>
    <x v="2"/>
    <n v="26018.950519999999"/>
  </r>
  <r>
    <n v="51"/>
    <s v="male"/>
    <n v="37"/>
    <n v="0"/>
    <x v="1"/>
    <x v="0"/>
    <n v="8798.5930000000008"/>
  </r>
  <r>
    <n v="22"/>
    <s v="female"/>
    <n v="31.02"/>
    <n v="3"/>
    <x v="0"/>
    <x v="1"/>
    <n v="35595.589800000002"/>
  </r>
  <r>
    <n v="47"/>
    <s v="male"/>
    <n v="36.08"/>
    <n v="1"/>
    <x v="0"/>
    <x v="1"/>
    <n v="42211.138200000001"/>
  </r>
  <r>
    <n v="18"/>
    <s v="male"/>
    <n v="23.32"/>
    <n v="1"/>
    <x v="1"/>
    <x v="1"/>
    <n v="1711.0268000000001"/>
  </r>
  <r>
    <n v="47"/>
    <s v="female"/>
    <n v="45.32"/>
    <n v="1"/>
    <x v="1"/>
    <x v="1"/>
    <n v="8569.8618000000006"/>
  </r>
  <r>
    <n v="21"/>
    <s v="female"/>
    <n v="34.6"/>
    <n v="0"/>
    <x v="1"/>
    <x v="0"/>
    <n v="2020.1769999999999"/>
  </r>
  <r>
    <n v="19"/>
    <s v="male"/>
    <n v="26.03"/>
    <n v="1"/>
    <x v="0"/>
    <x v="2"/>
    <n v="16450.894700000001"/>
  </r>
  <r>
    <n v="23"/>
    <s v="male"/>
    <n v="18.715"/>
    <n v="0"/>
    <x v="1"/>
    <x v="2"/>
    <n v="21595.382290000001"/>
  </r>
  <r>
    <n v="54"/>
    <s v="male"/>
    <n v="31.6"/>
    <n v="0"/>
    <x v="1"/>
    <x v="0"/>
    <n v="9850.4320000000007"/>
  </r>
  <r>
    <n v="37"/>
    <s v="female"/>
    <n v="17.29"/>
    <n v="2"/>
    <x v="1"/>
    <x v="3"/>
    <n v="6877.9800999999998"/>
  </r>
  <r>
    <n v="46"/>
    <s v="female"/>
    <n v="23.655000000000001"/>
    <n v="1"/>
    <x v="0"/>
    <x v="2"/>
    <n v="21677.283449999999"/>
  </r>
  <r>
    <n v="55"/>
    <s v="female"/>
    <n v="35.200000000000003"/>
    <n v="0"/>
    <x v="0"/>
    <x v="1"/>
    <n v="44423.803"/>
  </r>
  <r>
    <n v="30"/>
    <s v="female"/>
    <n v="27.93"/>
    <n v="0"/>
    <x v="1"/>
    <x v="3"/>
    <n v="4137.5227000000004"/>
  </r>
  <r>
    <n v="18"/>
    <s v="male"/>
    <n v="21.565000000000001"/>
    <n v="0"/>
    <x v="0"/>
    <x v="3"/>
    <n v="13747.87235"/>
  </r>
  <r>
    <n v="61"/>
    <s v="male"/>
    <n v="38.380000000000003"/>
    <n v="0"/>
    <x v="1"/>
    <x v="2"/>
    <n v="12950.0712"/>
  </r>
  <r>
    <n v="54"/>
    <s v="female"/>
    <n v="23"/>
    <n v="3"/>
    <x v="1"/>
    <x v="0"/>
    <n v="12094.477999999999"/>
  </r>
  <r>
    <n v="22"/>
    <s v="male"/>
    <n v="37.07"/>
    <n v="2"/>
    <x v="0"/>
    <x v="1"/>
    <n v="37484.4493"/>
  </r>
  <r>
    <n v="45"/>
    <s v="female"/>
    <n v="30.495000000000001"/>
    <n v="1"/>
    <x v="0"/>
    <x v="2"/>
    <n v="39725.518049999999"/>
  </r>
  <r>
    <n v="22"/>
    <s v="male"/>
    <n v="28.88"/>
    <n v="0"/>
    <x v="1"/>
    <x v="3"/>
    <n v="2250.8352"/>
  </r>
  <r>
    <n v="19"/>
    <s v="male"/>
    <n v="27.265000000000001"/>
    <n v="2"/>
    <x v="1"/>
    <x v="2"/>
    <n v="22493.659640000002"/>
  </r>
  <r>
    <n v="35"/>
    <s v="female"/>
    <n v="28.024999999999999"/>
    <n v="0"/>
    <x v="0"/>
    <x v="2"/>
    <n v="20234.854749999999"/>
  </r>
  <r>
    <n v="18"/>
    <s v="male"/>
    <n v="23.085000000000001"/>
    <n v="0"/>
    <x v="1"/>
    <x v="3"/>
    <n v="1704.7001499999999"/>
  </r>
  <r>
    <n v="20"/>
    <s v="male"/>
    <n v="30.684999999999999"/>
    <n v="0"/>
    <x v="0"/>
    <x v="3"/>
    <n v="33475.817150000003"/>
  </r>
  <r>
    <n v="28"/>
    <s v="female"/>
    <n v="25.8"/>
    <n v="0"/>
    <x v="1"/>
    <x v="0"/>
    <n v="3161.4540000000002"/>
  </r>
  <r>
    <n v="55"/>
    <s v="male"/>
    <n v="35.244999999999997"/>
    <n v="1"/>
    <x v="1"/>
    <x v="3"/>
    <n v="11394.065549999999"/>
  </r>
  <r>
    <n v="43"/>
    <s v="female"/>
    <n v="24.7"/>
    <n v="2"/>
    <x v="0"/>
    <x v="2"/>
    <n v="21880.82"/>
  </r>
  <r>
    <n v="43"/>
    <s v="female"/>
    <n v="25.08"/>
    <n v="0"/>
    <x v="1"/>
    <x v="3"/>
    <n v="7325.0482000000002"/>
  </r>
  <r>
    <n v="22"/>
    <s v="male"/>
    <n v="52.58"/>
    <n v="1"/>
    <x v="0"/>
    <x v="1"/>
    <n v="44501.398200000003"/>
  </r>
  <r>
    <n v="25"/>
    <s v="female"/>
    <n v="22.515000000000001"/>
    <n v="1"/>
    <x v="1"/>
    <x v="2"/>
    <n v="3594.17085"/>
  </r>
  <r>
    <n v="49"/>
    <s v="male"/>
    <n v="30.9"/>
    <n v="0"/>
    <x v="0"/>
    <x v="0"/>
    <n v="39727.614000000001"/>
  </r>
  <r>
    <n v="44"/>
    <s v="female"/>
    <n v="36.954999999999998"/>
    <n v="1"/>
    <x v="1"/>
    <x v="2"/>
    <n v="8023.1354499999998"/>
  </r>
  <r>
    <n v="64"/>
    <s v="male"/>
    <n v="26.41"/>
    <n v="0"/>
    <x v="1"/>
    <x v="3"/>
    <n v="14394.5579"/>
  </r>
  <r>
    <n v="49"/>
    <s v="male"/>
    <n v="29.83"/>
    <n v="1"/>
    <x v="1"/>
    <x v="3"/>
    <n v="9288.0267000000003"/>
  </r>
  <r>
    <n v="47"/>
    <s v="male"/>
    <n v="29.8"/>
    <n v="3"/>
    <x v="0"/>
    <x v="0"/>
    <n v="25309.489000000001"/>
  </r>
  <r>
    <n v="27"/>
    <s v="female"/>
    <n v="21.47"/>
    <n v="0"/>
    <x v="1"/>
    <x v="2"/>
    <n v="3353.4703"/>
  </r>
  <r>
    <n v="55"/>
    <s v="male"/>
    <n v="27.645"/>
    <n v="0"/>
    <x v="1"/>
    <x v="2"/>
    <n v="10594.501550000001"/>
  </r>
  <r>
    <n v="48"/>
    <s v="female"/>
    <n v="28.9"/>
    <n v="0"/>
    <x v="1"/>
    <x v="0"/>
    <n v="8277.5229999999992"/>
  </r>
  <r>
    <n v="45"/>
    <s v="female"/>
    <n v="31.79"/>
    <n v="0"/>
    <x v="1"/>
    <x v="1"/>
    <n v="17929.303370000001"/>
  </r>
  <r>
    <n v="24"/>
    <s v="female"/>
    <n v="39.49"/>
    <n v="0"/>
    <x v="1"/>
    <x v="1"/>
    <n v="2480.9791"/>
  </r>
  <r>
    <n v="32"/>
    <s v="male"/>
    <n v="33.82"/>
    <n v="1"/>
    <x v="1"/>
    <x v="2"/>
    <n v="4462.7218000000003"/>
  </r>
  <r>
    <n v="24"/>
    <s v="male"/>
    <n v="32.01"/>
    <n v="0"/>
    <x v="1"/>
    <x v="1"/>
    <n v="1981.5818999999999"/>
  </r>
  <r>
    <n v="57"/>
    <s v="male"/>
    <n v="27.94"/>
    <n v="1"/>
    <x v="1"/>
    <x v="1"/>
    <n v="11554.223599999999"/>
  </r>
  <r>
    <n v="59"/>
    <s v="male"/>
    <n v="41.14"/>
    <n v="1"/>
    <x v="0"/>
    <x v="1"/>
    <n v="48970.247600000002"/>
  </r>
  <r>
    <n v="36"/>
    <s v="male"/>
    <n v="28.594999999999999"/>
    <n v="3"/>
    <x v="1"/>
    <x v="2"/>
    <n v="6548.1950500000003"/>
  </r>
  <r>
    <n v="29"/>
    <s v="female"/>
    <n v="25.6"/>
    <n v="4"/>
    <x v="1"/>
    <x v="0"/>
    <n v="5708.8670000000002"/>
  </r>
  <r>
    <n v="42"/>
    <s v="female"/>
    <n v="25.3"/>
    <n v="1"/>
    <x v="1"/>
    <x v="0"/>
    <n v="7045.4989999999998"/>
  </r>
  <r>
    <n v="48"/>
    <s v="male"/>
    <n v="37.29"/>
    <n v="2"/>
    <x v="1"/>
    <x v="1"/>
    <n v="8978.1851000000006"/>
  </r>
  <r>
    <n v="39"/>
    <s v="male"/>
    <n v="42.655000000000001"/>
    <n v="0"/>
    <x v="1"/>
    <x v="3"/>
    <n v="5757.41345"/>
  </r>
  <r>
    <n v="63"/>
    <s v="male"/>
    <n v="21.66"/>
    <n v="1"/>
    <x v="1"/>
    <x v="2"/>
    <n v="14349.8544"/>
  </r>
  <r>
    <n v="54"/>
    <s v="female"/>
    <n v="31.9"/>
    <n v="1"/>
    <x v="1"/>
    <x v="1"/>
    <n v="10928.849"/>
  </r>
  <r>
    <n v="37"/>
    <s v="male"/>
    <n v="37.07"/>
    <n v="1"/>
    <x v="0"/>
    <x v="1"/>
    <n v="39871.704299999998"/>
  </r>
  <r>
    <n v="63"/>
    <s v="male"/>
    <n v="31.445"/>
    <n v="0"/>
    <x v="1"/>
    <x v="3"/>
    <n v="13974.455550000001"/>
  </r>
  <r>
    <n v="21"/>
    <s v="male"/>
    <n v="31.254999999999999"/>
    <n v="0"/>
    <x v="1"/>
    <x v="2"/>
    <n v="1909.52745"/>
  </r>
  <r>
    <n v="54"/>
    <s v="female"/>
    <n v="28.88"/>
    <n v="2"/>
    <x v="1"/>
    <x v="3"/>
    <n v="12096.6512"/>
  </r>
  <r>
    <n v="60"/>
    <s v="female"/>
    <n v="18.335000000000001"/>
    <n v="0"/>
    <x v="1"/>
    <x v="3"/>
    <n v="13204.28565"/>
  </r>
  <r>
    <n v="32"/>
    <s v="female"/>
    <n v="29.59"/>
    <n v="1"/>
    <x v="1"/>
    <x v="1"/>
    <n v="4562.8420999999998"/>
  </r>
  <r>
    <n v="47"/>
    <s v="female"/>
    <n v="32"/>
    <n v="1"/>
    <x v="1"/>
    <x v="0"/>
    <n v="8551.3469999999998"/>
  </r>
  <r>
    <n v="21"/>
    <s v="male"/>
    <n v="26.03"/>
    <n v="0"/>
    <x v="1"/>
    <x v="3"/>
    <n v="2102.2647000000002"/>
  </r>
  <r>
    <n v="28"/>
    <s v="male"/>
    <n v="31.68"/>
    <n v="0"/>
    <x v="0"/>
    <x v="1"/>
    <n v="34672.147199999999"/>
  </r>
  <r>
    <n v="63"/>
    <s v="male"/>
    <n v="33.659999999999997"/>
    <n v="3"/>
    <x v="1"/>
    <x v="1"/>
    <n v="15161.5344"/>
  </r>
  <r>
    <n v="18"/>
    <s v="male"/>
    <n v="21.78"/>
    <n v="2"/>
    <x v="1"/>
    <x v="1"/>
    <n v="11884.048580000001"/>
  </r>
  <r>
    <n v="32"/>
    <s v="male"/>
    <n v="27.835000000000001"/>
    <n v="1"/>
    <x v="1"/>
    <x v="2"/>
    <n v="4454.40265"/>
  </r>
  <r>
    <n v="38"/>
    <s v="male"/>
    <n v="19.95"/>
    <n v="1"/>
    <x v="1"/>
    <x v="2"/>
    <n v="5855.9025000000001"/>
  </r>
  <r>
    <n v="32"/>
    <s v="male"/>
    <n v="31.5"/>
    <n v="1"/>
    <x v="1"/>
    <x v="0"/>
    <n v="4076.4969999999998"/>
  </r>
  <r>
    <n v="62"/>
    <s v="female"/>
    <n v="30.495000000000001"/>
    <n v="2"/>
    <x v="1"/>
    <x v="2"/>
    <n v="15019.760050000001"/>
  </r>
  <r>
    <n v="39"/>
    <s v="female"/>
    <n v="18.3"/>
    <n v="5"/>
    <x v="0"/>
    <x v="0"/>
    <n v="19023.259999999998"/>
  </r>
  <r>
    <n v="55"/>
    <s v="male"/>
    <n v="28.975000000000001"/>
    <n v="0"/>
    <x v="1"/>
    <x v="3"/>
    <n v="10796.35025"/>
  </r>
  <r>
    <n v="57"/>
    <s v="male"/>
    <n v="31.54"/>
    <n v="0"/>
    <x v="1"/>
    <x v="2"/>
    <n v="11353.2276"/>
  </r>
  <r>
    <n v="52"/>
    <s v="male"/>
    <n v="47.74"/>
    <n v="1"/>
    <x v="1"/>
    <x v="1"/>
    <n v="9748.9105999999992"/>
  </r>
  <r>
    <n v="56"/>
    <s v="male"/>
    <n v="22.1"/>
    <n v="0"/>
    <x v="1"/>
    <x v="0"/>
    <n v="10577.087"/>
  </r>
  <r>
    <n v="47"/>
    <s v="male"/>
    <n v="36.19"/>
    <n v="0"/>
    <x v="0"/>
    <x v="1"/>
    <n v="41676.081100000003"/>
  </r>
  <r>
    <n v="55"/>
    <s v="female"/>
    <n v="29.83"/>
    <n v="0"/>
    <x v="1"/>
    <x v="3"/>
    <n v="11286.538699999999"/>
  </r>
  <r>
    <n v="23"/>
    <s v="male"/>
    <n v="32.700000000000003"/>
    <n v="3"/>
    <x v="1"/>
    <x v="0"/>
    <n v="3591.48"/>
  </r>
  <r>
    <n v="22"/>
    <s v="female"/>
    <n v="30.4"/>
    <n v="0"/>
    <x v="0"/>
    <x v="2"/>
    <n v="33907.548000000003"/>
  </r>
  <r>
    <n v="50"/>
    <s v="female"/>
    <n v="33.700000000000003"/>
    <n v="4"/>
    <x v="1"/>
    <x v="0"/>
    <n v="11299.343000000001"/>
  </r>
  <r>
    <n v="18"/>
    <s v="female"/>
    <n v="31.35"/>
    <n v="4"/>
    <x v="1"/>
    <x v="3"/>
    <n v="4561.1885000000002"/>
  </r>
  <r>
    <n v="51"/>
    <s v="female"/>
    <n v="34.96"/>
    <n v="2"/>
    <x v="0"/>
    <x v="3"/>
    <n v="44641.197399999997"/>
  </r>
  <r>
    <n v="22"/>
    <s v="male"/>
    <n v="33.770000000000003"/>
    <n v="0"/>
    <x v="1"/>
    <x v="1"/>
    <n v="1674.6323"/>
  </r>
  <r>
    <n v="52"/>
    <s v="female"/>
    <n v="30.875"/>
    <n v="0"/>
    <x v="1"/>
    <x v="3"/>
    <n v="23045.566159999998"/>
  </r>
  <r>
    <n v="25"/>
    <s v="female"/>
    <n v="33.99"/>
    <n v="1"/>
    <x v="1"/>
    <x v="1"/>
    <n v="3227.1210999999998"/>
  </r>
  <r>
    <n v="33"/>
    <s v="female"/>
    <n v="19.094999999999999"/>
    <n v="2"/>
    <x v="0"/>
    <x v="3"/>
    <n v="16776.304049999999"/>
  </r>
  <r>
    <n v="53"/>
    <s v="male"/>
    <n v="28.6"/>
    <n v="3"/>
    <x v="1"/>
    <x v="0"/>
    <n v="11253.421"/>
  </r>
  <r>
    <n v="29"/>
    <s v="male"/>
    <n v="38.94"/>
    <n v="1"/>
    <x v="1"/>
    <x v="1"/>
    <n v="3471.4096"/>
  </r>
  <r>
    <n v="58"/>
    <s v="male"/>
    <n v="36.08"/>
    <n v="0"/>
    <x v="1"/>
    <x v="1"/>
    <n v="11363.2832"/>
  </r>
  <r>
    <n v="37"/>
    <s v="male"/>
    <n v="29.8"/>
    <n v="0"/>
    <x v="1"/>
    <x v="0"/>
    <n v="20420.604650000001"/>
  </r>
  <r>
    <n v="54"/>
    <s v="female"/>
    <n v="31.24"/>
    <n v="0"/>
    <x v="1"/>
    <x v="1"/>
    <n v="10338.9316"/>
  </r>
  <r>
    <n v="49"/>
    <s v="female"/>
    <n v="29.925000000000001"/>
    <n v="0"/>
    <x v="1"/>
    <x v="2"/>
    <n v="8988.1587500000005"/>
  </r>
  <r>
    <n v="50"/>
    <s v="female"/>
    <n v="26.22"/>
    <n v="2"/>
    <x v="1"/>
    <x v="2"/>
    <n v="10493.9458"/>
  </r>
  <r>
    <n v="26"/>
    <s v="male"/>
    <n v="30"/>
    <n v="1"/>
    <x v="1"/>
    <x v="0"/>
    <n v="2904.0880000000002"/>
  </r>
  <r>
    <n v="45"/>
    <s v="male"/>
    <n v="20.350000000000001"/>
    <n v="3"/>
    <x v="1"/>
    <x v="1"/>
    <n v="8605.3615000000009"/>
  </r>
  <r>
    <n v="54"/>
    <s v="female"/>
    <n v="32.299999999999997"/>
    <n v="1"/>
    <x v="1"/>
    <x v="3"/>
    <n v="11512.405000000001"/>
  </r>
  <r>
    <n v="38"/>
    <s v="male"/>
    <n v="38.39"/>
    <n v="3"/>
    <x v="0"/>
    <x v="1"/>
    <n v="41949.244100000004"/>
  </r>
  <r>
    <n v="48"/>
    <s v="female"/>
    <n v="25.85"/>
    <n v="3"/>
    <x v="0"/>
    <x v="1"/>
    <n v="24180.933499999999"/>
  </r>
  <r>
    <n v="28"/>
    <s v="female"/>
    <n v="26.315000000000001"/>
    <n v="3"/>
    <x v="1"/>
    <x v="2"/>
    <n v="5312.1698500000002"/>
  </r>
  <r>
    <n v="23"/>
    <s v="male"/>
    <n v="24.51"/>
    <n v="0"/>
    <x v="1"/>
    <x v="3"/>
    <n v="2396.0958999999998"/>
  </r>
  <r>
    <n v="55"/>
    <s v="male"/>
    <n v="32.67"/>
    <n v="1"/>
    <x v="1"/>
    <x v="1"/>
    <n v="10807.4863"/>
  </r>
  <r>
    <n v="41"/>
    <s v="male"/>
    <n v="29.64"/>
    <n v="5"/>
    <x v="1"/>
    <x v="3"/>
    <n v="9222.4025999999994"/>
  </r>
  <r>
    <n v="25"/>
    <s v="male"/>
    <n v="33.33"/>
    <n v="2"/>
    <x v="0"/>
    <x v="1"/>
    <n v="36124.573700000001"/>
  </r>
  <r>
    <n v="33"/>
    <s v="male"/>
    <n v="35.75"/>
    <n v="1"/>
    <x v="0"/>
    <x v="1"/>
    <n v="38282.749499999998"/>
  </r>
  <r>
    <n v="30"/>
    <s v="female"/>
    <n v="19.95"/>
    <n v="3"/>
    <x v="1"/>
    <x v="2"/>
    <n v="5693.4305000000004"/>
  </r>
  <r>
    <n v="23"/>
    <s v="female"/>
    <n v="31.4"/>
    <n v="0"/>
    <x v="0"/>
    <x v="0"/>
    <n v="34166.273000000001"/>
  </r>
  <r>
    <n v="46"/>
    <s v="male"/>
    <n v="38.17"/>
    <n v="2"/>
    <x v="1"/>
    <x v="1"/>
    <n v="8347.1643000000004"/>
  </r>
  <r>
    <n v="53"/>
    <s v="female"/>
    <n v="36.86"/>
    <n v="3"/>
    <x v="0"/>
    <x v="2"/>
    <n v="46661.4424"/>
  </r>
  <r>
    <n v="27"/>
    <s v="female"/>
    <n v="32.395000000000003"/>
    <n v="1"/>
    <x v="1"/>
    <x v="3"/>
    <n v="18903.491409999999"/>
  </r>
  <r>
    <n v="23"/>
    <s v="female"/>
    <n v="42.75"/>
    <n v="1"/>
    <x v="0"/>
    <x v="3"/>
    <n v="40904.199500000002"/>
  </r>
  <r>
    <n v="63"/>
    <s v="female"/>
    <n v="25.08"/>
    <n v="0"/>
    <x v="1"/>
    <x v="2"/>
    <n v="14254.608200000001"/>
  </r>
  <r>
    <n v="55"/>
    <s v="male"/>
    <n v="29.9"/>
    <n v="0"/>
    <x v="1"/>
    <x v="0"/>
    <n v="10214.636"/>
  </r>
  <r>
    <n v="35"/>
    <s v="female"/>
    <n v="35.86"/>
    <n v="2"/>
    <x v="1"/>
    <x v="1"/>
    <n v="5836.5204000000003"/>
  </r>
  <r>
    <n v="34"/>
    <s v="male"/>
    <n v="32.799999999999997"/>
    <n v="1"/>
    <x v="1"/>
    <x v="0"/>
    <n v="14358.364369999999"/>
  </r>
  <r>
    <n v="19"/>
    <s v="female"/>
    <n v="18.600000000000001"/>
    <n v="0"/>
    <x v="1"/>
    <x v="0"/>
    <n v="1728.8969999999999"/>
  </r>
  <r>
    <n v="39"/>
    <s v="female"/>
    <n v="23.87"/>
    <n v="5"/>
    <x v="1"/>
    <x v="1"/>
    <n v="8582.3022999999994"/>
  </r>
  <r>
    <n v="27"/>
    <s v="male"/>
    <n v="45.9"/>
    <n v="2"/>
    <x v="1"/>
    <x v="0"/>
    <n v="3693.4279999999999"/>
  </r>
  <r>
    <n v="57"/>
    <s v="male"/>
    <n v="40.28"/>
    <n v="0"/>
    <x v="1"/>
    <x v="3"/>
    <n v="20709.020339999999"/>
  </r>
  <r>
    <n v="52"/>
    <s v="female"/>
    <n v="18.335000000000001"/>
    <n v="0"/>
    <x v="1"/>
    <x v="2"/>
    <n v="9991.0376500000002"/>
  </r>
  <r>
    <n v="28"/>
    <s v="male"/>
    <n v="33.82"/>
    <n v="0"/>
    <x v="1"/>
    <x v="2"/>
    <n v="19673.335729999999"/>
  </r>
  <r>
    <n v="50"/>
    <s v="female"/>
    <n v="28.12"/>
    <n v="3"/>
    <x v="1"/>
    <x v="2"/>
    <n v="11085.586799999999"/>
  </r>
  <r>
    <n v="44"/>
    <s v="female"/>
    <n v="25"/>
    <n v="1"/>
    <x v="1"/>
    <x v="0"/>
    <n v="7623.518"/>
  </r>
  <r>
    <n v="26"/>
    <s v="female"/>
    <n v="22.23"/>
    <n v="0"/>
    <x v="1"/>
    <x v="2"/>
    <n v="3176.2876999999999"/>
  </r>
  <r>
    <n v="33"/>
    <s v="male"/>
    <n v="30.25"/>
    <n v="0"/>
    <x v="1"/>
    <x v="1"/>
    <n v="3704.3544999999999"/>
  </r>
  <r>
    <n v="19"/>
    <s v="female"/>
    <n v="32.49"/>
    <n v="0"/>
    <x v="0"/>
    <x v="2"/>
    <n v="36898.733079999998"/>
  </r>
  <r>
    <n v="50"/>
    <s v="male"/>
    <n v="37.07"/>
    <n v="1"/>
    <x v="1"/>
    <x v="1"/>
    <n v="9048.0272999999997"/>
  </r>
  <r>
    <n v="41"/>
    <s v="female"/>
    <n v="32.6"/>
    <n v="3"/>
    <x v="1"/>
    <x v="0"/>
    <n v="7954.5169999999998"/>
  </r>
  <r>
    <n v="52"/>
    <s v="female"/>
    <n v="24.86"/>
    <n v="0"/>
    <x v="1"/>
    <x v="1"/>
    <n v="27117.993780000001"/>
  </r>
  <r>
    <n v="39"/>
    <s v="male"/>
    <n v="32.340000000000003"/>
    <n v="2"/>
    <x v="1"/>
    <x v="1"/>
    <n v="6338.0756000000001"/>
  </r>
  <r>
    <n v="50"/>
    <s v="male"/>
    <n v="32.299999999999997"/>
    <n v="2"/>
    <x v="1"/>
    <x v="0"/>
    <n v="9630.3970000000008"/>
  </r>
  <r>
    <n v="52"/>
    <s v="male"/>
    <n v="32.774999999999999"/>
    <n v="3"/>
    <x v="1"/>
    <x v="2"/>
    <n v="11289.10925"/>
  </r>
  <r>
    <n v="60"/>
    <s v="male"/>
    <n v="32.799999999999997"/>
    <n v="0"/>
    <x v="0"/>
    <x v="0"/>
    <n v="52590.829389999999"/>
  </r>
  <r>
    <n v="20"/>
    <s v="female"/>
    <n v="31.92"/>
    <n v="0"/>
    <x v="1"/>
    <x v="2"/>
    <n v="2261.5688"/>
  </r>
  <r>
    <n v="55"/>
    <s v="male"/>
    <n v="21.5"/>
    <n v="1"/>
    <x v="1"/>
    <x v="0"/>
    <n v="10791.96"/>
  </r>
  <r>
    <n v="42"/>
    <s v="male"/>
    <n v="34.1"/>
    <n v="0"/>
    <x v="1"/>
    <x v="0"/>
    <n v="5979.7309999999998"/>
  </r>
  <r>
    <n v="18"/>
    <s v="female"/>
    <n v="30.305"/>
    <n v="0"/>
    <x v="1"/>
    <x v="3"/>
    <n v="2203.7359499999998"/>
  </r>
  <r>
    <n v="58"/>
    <s v="female"/>
    <n v="36.479999999999997"/>
    <n v="0"/>
    <x v="1"/>
    <x v="2"/>
    <n v="12235.8392"/>
  </r>
  <r>
    <n v="43"/>
    <s v="female"/>
    <n v="32.56"/>
    <n v="3"/>
    <x v="0"/>
    <x v="1"/>
    <n v="40941.285400000001"/>
  </r>
  <r>
    <n v="35"/>
    <s v="female"/>
    <n v="35.814999999999998"/>
    <n v="1"/>
    <x v="1"/>
    <x v="2"/>
    <n v="5630.4578499999998"/>
  </r>
  <r>
    <n v="48"/>
    <s v="female"/>
    <n v="27.93"/>
    <n v="4"/>
    <x v="1"/>
    <x v="2"/>
    <n v="11015.1747"/>
  </r>
  <r>
    <n v="36"/>
    <s v="female"/>
    <n v="22.135000000000002"/>
    <n v="3"/>
    <x v="1"/>
    <x v="3"/>
    <n v="7228.2156500000001"/>
  </r>
  <r>
    <n v="19"/>
    <s v="male"/>
    <n v="44.88"/>
    <n v="0"/>
    <x v="0"/>
    <x v="1"/>
    <n v="39722.746200000001"/>
  </r>
  <r>
    <n v="23"/>
    <s v="female"/>
    <n v="23.18"/>
    <n v="2"/>
    <x v="1"/>
    <x v="2"/>
    <n v="14426.073850000001"/>
  </r>
  <r>
    <n v="20"/>
    <s v="female"/>
    <n v="30.59"/>
    <n v="0"/>
    <x v="1"/>
    <x v="3"/>
    <n v="2459.7201"/>
  </r>
  <r>
    <n v="32"/>
    <s v="female"/>
    <n v="41.1"/>
    <n v="0"/>
    <x v="1"/>
    <x v="0"/>
    <n v="3989.8409999999999"/>
  </r>
  <r>
    <n v="43"/>
    <s v="female"/>
    <n v="34.58"/>
    <n v="1"/>
    <x v="1"/>
    <x v="2"/>
    <n v="7727.2532000000001"/>
  </r>
  <r>
    <n v="34"/>
    <s v="male"/>
    <n v="42.13"/>
    <n v="2"/>
    <x v="1"/>
    <x v="1"/>
    <n v="5124.1886999999997"/>
  </r>
  <r>
    <n v="30"/>
    <s v="male"/>
    <n v="38.83"/>
    <n v="1"/>
    <x v="1"/>
    <x v="1"/>
    <n v="18963.171920000001"/>
  </r>
  <r>
    <n v="18"/>
    <s v="female"/>
    <n v="28.215"/>
    <n v="0"/>
    <x v="1"/>
    <x v="3"/>
    <n v="2200.8308499999998"/>
  </r>
  <r>
    <n v="41"/>
    <s v="female"/>
    <n v="28.31"/>
    <n v="1"/>
    <x v="1"/>
    <x v="2"/>
    <n v="7153.5538999999999"/>
  </r>
  <r>
    <n v="35"/>
    <s v="female"/>
    <n v="26.125"/>
    <n v="0"/>
    <x v="1"/>
    <x v="3"/>
    <n v="5227.9887500000004"/>
  </r>
  <r>
    <n v="57"/>
    <s v="male"/>
    <n v="40.369999999999997"/>
    <n v="0"/>
    <x v="1"/>
    <x v="1"/>
    <n v="10982.5013"/>
  </r>
  <r>
    <n v="29"/>
    <s v="female"/>
    <n v="24.6"/>
    <n v="2"/>
    <x v="1"/>
    <x v="0"/>
    <n v="4529.4769999999999"/>
  </r>
  <r>
    <n v="32"/>
    <s v="male"/>
    <n v="35.200000000000003"/>
    <n v="2"/>
    <x v="1"/>
    <x v="0"/>
    <n v="4670.6400000000003"/>
  </r>
  <r>
    <n v="37"/>
    <s v="female"/>
    <n v="34.104999999999997"/>
    <n v="1"/>
    <x v="1"/>
    <x v="2"/>
    <n v="6112.3529500000004"/>
  </r>
  <r>
    <n v="18"/>
    <s v="male"/>
    <n v="27.36"/>
    <n v="1"/>
    <x v="0"/>
    <x v="3"/>
    <n v="17178.682400000002"/>
  </r>
  <r>
    <n v="43"/>
    <s v="female"/>
    <n v="26.7"/>
    <n v="2"/>
    <x v="0"/>
    <x v="0"/>
    <n v="22478.6"/>
  </r>
  <r>
    <n v="56"/>
    <s v="female"/>
    <n v="41.91"/>
    <n v="0"/>
    <x v="1"/>
    <x v="1"/>
    <n v="11093.6229"/>
  </r>
  <r>
    <n v="38"/>
    <s v="male"/>
    <n v="29.26"/>
    <n v="2"/>
    <x v="1"/>
    <x v="2"/>
    <n v="6457.8433999999997"/>
  </r>
  <r>
    <n v="29"/>
    <s v="male"/>
    <n v="32.11"/>
    <n v="2"/>
    <x v="1"/>
    <x v="2"/>
    <n v="4433.9159"/>
  </r>
  <r>
    <n v="22"/>
    <s v="female"/>
    <n v="27.1"/>
    <n v="0"/>
    <x v="1"/>
    <x v="0"/>
    <n v="2154.3609999999999"/>
  </r>
  <r>
    <n v="52"/>
    <s v="female"/>
    <n v="24.13"/>
    <n v="1"/>
    <x v="0"/>
    <x v="2"/>
    <n v="23887.662700000001"/>
  </r>
  <r>
    <n v="40"/>
    <s v="female"/>
    <n v="27.4"/>
    <n v="1"/>
    <x v="1"/>
    <x v="0"/>
    <n v="6496.8860000000004"/>
  </r>
  <r>
    <n v="23"/>
    <s v="female"/>
    <n v="34.865000000000002"/>
    <n v="0"/>
    <x v="1"/>
    <x v="3"/>
    <n v="2899.4893499999998"/>
  </r>
  <r>
    <n v="31"/>
    <s v="male"/>
    <n v="29.81"/>
    <n v="0"/>
    <x v="0"/>
    <x v="1"/>
    <n v="19350.368900000001"/>
  </r>
  <r>
    <n v="42"/>
    <s v="female"/>
    <n v="41.325000000000003"/>
    <n v="1"/>
    <x v="1"/>
    <x v="3"/>
    <n v="7650.7737500000003"/>
  </r>
  <r>
    <n v="24"/>
    <s v="female"/>
    <n v="29.925000000000001"/>
    <n v="0"/>
    <x v="1"/>
    <x v="2"/>
    <n v="2850.6837500000001"/>
  </r>
  <r>
    <n v="25"/>
    <s v="female"/>
    <n v="30.3"/>
    <n v="0"/>
    <x v="1"/>
    <x v="0"/>
    <n v="2632.9920000000002"/>
  </r>
  <r>
    <n v="48"/>
    <s v="female"/>
    <n v="27.36"/>
    <n v="1"/>
    <x v="1"/>
    <x v="3"/>
    <n v="9447.3824000000004"/>
  </r>
  <r>
    <n v="23"/>
    <s v="female"/>
    <n v="28.49"/>
    <n v="1"/>
    <x v="0"/>
    <x v="1"/>
    <n v="18328.238099999999"/>
  </r>
  <r>
    <n v="45"/>
    <s v="male"/>
    <n v="23.56"/>
    <n v="2"/>
    <x v="1"/>
    <x v="3"/>
    <n v="8603.8233999999993"/>
  </r>
  <r>
    <n v="20"/>
    <s v="male"/>
    <n v="35.625"/>
    <n v="3"/>
    <x v="0"/>
    <x v="2"/>
    <n v="37465.34375"/>
  </r>
  <r>
    <n v="62"/>
    <s v="female"/>
    <n v="32.68"/>
    <n v="0"/>
    <x v="1"/>
    <x v="2"/>
    <n v="13844.797200000001"/>
  </r>
  <r>
    <n v="43"/>
    <s v="female"/>
    <n v="25.27"/>
    <n v="1"/>
    <x v="0"/>
    <x v="3"/>
    <n v="21771.3423"/>
  </r>
  <r>
    <n v="23"/>
    <s v="female"/>
    <n v="28"/>
    <n v="0"/>
    <x v="1"/>
    <x v="0"/>
    <n v="13126.677449999999"/>
  </r>
  <r>
    <n v="31"/>
    <s v="female"/>
    <n v="32.774999999999999"/>
    <n v="2"/>
    <x v="1"/>
    <x v="2"/>
    <n v="5327.4002499999997"/>
  </r>
  <r>
    <n v="41"/>
    <s v="female"/>
    <n v="21.754999999999999"/>
    <n v="1"/>
    <x v="1"/>
    <x v="3"/>
    <n v="13725.47184"/>
  </r>
  <r>
    <n v="58"/>
    <s v="female"/>
    <n v="32.395000000000003"/>
    <n v="1"/>
    <x v="1"/>
    <x v="3"/>
    <n v="13019.161050000001"/>
  </r>
  <r>
    <n v="48"/>
    <s v="female"/>
    <n v="36.575000000000003"/>
    <n v="0"/>
    <x v="1"/>
    <x v="2"/>
    <n v="8671.1912499999999"/>
  </r>
  <r>
    <n v="31"/>
    <s v="female"/>
    <n v="21.754999999999999"/>
    <n v="0"/>
    <x v="1"/>
    <x v="2"/>
    <n v="4134.0824499999999"/>
  </r>
  <r>
    <n v="19"/>
    <s v="female"/>
    <n v="27.93"/>
    <n v="3"/>
    <x v="1"/>
    <x v="2"/>
    <n v="18838.703659999999"/>
  </r>
  <r>
    <n v="19"/>
    <s v="female"/>
    <n v="30.02"/>
    <n v="0"/>
    <x v="0"/>
    <x v="2"/>
    <n v="33307.550799999997"/>
  </r>
  <r>
    <n v="41"/>
    <s v="male"/>
    <n v="33.549999999999997"/>
    <n v="0"/>
    <x v="1"/>
    <x v="1"/>
    <n v="5699.8374999999996"/>
  </r>
  <r>
    <n v="40"/>
    <s v="male"/>
    <n v="29.355"/>
    <n v="1"/>
    <x v="1"/>
    <x v="2"/>
    <n v="6393.6034499999996"/>
  </r>
  <r>
    <n v="31"/>
    <s v="female"/>
    <n v="25.8"/>
    <n v="2"/>
    <x v="1"/>
    <x v="0"/>
    <n v="4934.7049999999999"/>
  </r>
  <r>
    <n v="37"/>
    <s v="male"/>
    <n v="24.32"/>
    <n v="2"/>
    <x v="1"/>
    <x v="2"/>
    <n v="6198.7518"/>
  </r>
  <r>
    <n v="46"/>
    <s v="male"/>
    <n v="40.375"/>
    <n v="2"/>
    <x v="1"/>
    <x v="2"/>
    <n v="8733.2292500000003"/>
  </r>
  <r>
    <n v="22"/>
    <s v="male"/>
    <n v="32.11"/>
    <n v="0"/>
    <x v="1"/>
    <x v="2"/>
    <n v="2055.3249000000001"/>
  </r>
  <r>
    <n v="51"/>
    <s v="male"/>
    <n v="32.299999999999997"/>
    <n v="1"/>
    <x v="1"/>
    <x v="3"/>
    <n v="9964.06"/>
  </r>
  <r>
    <n v="18"/>
    <s v="female"/>
    <n v="27.28"/>
    <n v="3"/>
    <x v="0"/>
    <x v="1"/>
    <n v="18223.4512"/>
  </r>
  <r>
    <n v="35"/>
    <s v="male"/>
    <n v="17.86"/>
    <n v="1"/>
    <x v="1"/>
    <x v="2"/>
    <n v="5116.5003999999999"/>
  </r>
  <r>
    <n v="59"/>
    <s v="female"/>
    <n v="34.799999999999997"/>
    <n v="2"/>
    <x v="1"/>
    <x v="0"/>
    <n v="36910.608030000003"/>
  </r>
  <r>
    <n v="36"/>
    <s v="male"/>
    <n v="33.4"/>
    <n v="2"/>
    <x v="0"/>
    <x v="0"/>
    <n v="38415.474000000002"/>
  </r>
  <r>
    <n v="37"/>
    <s v="female"/>
    <n v="25.555"/>
    <n v="1"/>
    <x v="0"/>
    <x v="3"/>
    <n v="20296.863450000001"/>
  </r>
  <r>
    <n v="59"/>
    <s v="male"/>
    <n v="37.1"/>
    <n v="1"/>
    <x v="1"/>
    <x v="0"/>
    <n v="12347.172"/>
  </r>
  <r>
    <n v="36"/>
    <s v="male"/>
    <n v="30.875"/>
    <n v="1"/>
    <x v="1"/>
    <x v="2"/>
    <n v="5373.3642499999996"/>
  </r>
  <r>
    <n v="39"/>
    <s v="male"/>
    <n v="34.1"/>
    <n v="2"/>
    <x v="1"/>
    <x v="1"/>
    <n v="23563.016179999999"/>
  </r>
  <r>
    <n v="18"/>
    <s v="male"/>
    <n v="21.47"/>
    <n v="0"/>
    <x v="1"/>
    <x v="3"/>
    <n v="1702.4553000000001"/>
  </r>
  <r>
    <n v="52"/>
    <s v="female"/>
    <n v="33.299999999999997"/>
    <n v="2"/>
    <x v="1"/>
    <x v="0"/>
    <n v="10806.839"/>
  </r>
  <r>
    <n v="27"/>
    <s v="female"/>
    <n v="31.254999999999999"/>
    <n v="1"/>
    <x v="1"/>
    <x v="2"/>
    <n v="3956.0714499999999"/>
  </r>
  <r>
    <n v="18"/>
    <s v="male"/>
    <n v="39.14"/>
    <n v="0"/>
    <x v="1"/>
    <x v="3"/>
    <n v="12890.057650000001"/>
  </r>
  <r>
    <n v="40"/>
    <s v="male"/>
    <n v="25.08"/>
    <n v="0"/>
    <x v="1"/>
    <x v="1"/>
    <n v="5415.6611999999996"/>
  </r>
  <r>
    <n v="29"/>
    <s v="male"/>
    <n v="37.29"/>
    <n v="2"/>
    <x v="1"/>
    <x v="1"/>
    <n v="4058.1161000000002"/>
  </r>
  <r>
    <n v="46"/>
    <s v="female"/>
    <n v="34.6"/>
    <n v="1"/>
    <x v="0"/>
    <x v="0"/>
    <n v="41661.601999999999"/>
  </r>
  <r>
    <n v="38"/>
    <s v="female"/>
    <n v="30.21"/>
    <n v="3"/>
    <x v="1"/>
    <x v="2"/>
    <n v="7537.1638999999996"/>
  </r>
  <r>
    <n v="30"/>
    <s v="female"/>
    <n v="21.945"/>
    <n v="1"/>
    <x v="1"/>
    <x v="3"/>
    <n v="4718.2035500000002"/>
  </r>
  <r>
    <n v="40"/>
    <s v="male"/>
    <n v="24.97"/>
    <n v="2"/>
    <x v="1"/>
    <x v="1"/>
    <n v="6593.5083000000004"/>
  </r>
  <r>
    <n v="50"/>
    <s v="male"/>
    <n v="25.3"/>
    <n v="0"/>
    <x v="1"/>
    <x v="1"/>
    <n v="8442.6669999999995"/>
  </r>
  <r>
    <n v="20"/>
    <s v="female"/>
    <n v="24.42"/>
    <n v="0"/>
    <x v="0"/>
    <x v="1"/>
    <n v="26125.674770000001"/>
  </r>
  <r>
    <n v="41"/>
    <s v="male"/>
    <n v="23.94"/>
    <n v="1"/>
    <x v="1"/>
    <x v="3"/>
    <n v="6858.4795999999997"/>
  </r>
  <r>
    <n v="33"/>
    <s v="female"/>
    <n v="39.82"/>
    <n v="1"/>
    <x v="1"/>
    <x v="1"/>
    <n v="4795.6567999999997"/>
  </r>
  <r>
    <n v="38"/>
    <s v="male"/>
    <n v="16.815000000000001"/>
    <n v="2"/>
    <x v="1"/>
    <x v="3"/>
    <n v="6640.5448500000002"/>
  </r>
  <r>
    <n v="42"/>
    <s v="male"/>
    <n v="37.18"/>
    <n v="2"/>
    <x v="1"/>
    <x v="1"/>
    <n v="7162.0122000000001"/>
  </r>
  <r>
    <n v="56"/>
    <s v="male"/>
    <n v="34.43"/>
    <n v="0"/>
    <x v="1"/>
    <x v="1"/>
    <n v="10594.225700000001"/>
  </r>
  <r>
    <n v="58"/>
    <s v="male"/>
    <n v="30.305"/>
    <n v="0"/>
    <x v="1"/>
    <x v="3"/>
    <n v="11938.255950000001"/>
  </r>
  <r>
    <n v="52"/>
    <s v="male"/>
    <n v="34.484999999999999"/>
    <n v="3"/>
    <x v="0"/>
    <x v="2"/>
    <n v="60021.398970000002"/>
  </r>
  <r>
    <n v="20"/>
    <s v="female"/>
    <n v="21.8"/>
    <n v="0"/>
    <x v="0"/>
    <x v="0"/>
    <n v="20167.336029999999"/>
  </r>
  <r>
    <n v="54"/>
    <s v="female"/>
    <n v="24.605"/>
    <n v="3"/>
    <x v="1"/>
    <x v="2"/>
    <n v="12479.70895"/>
  </r>
  <r>
    <n v="58"/>
    <s v="male"/>
    <n v="23.3"/>
    <n v="0"/>
    <x v="1"/>
    <x v="0"/>
    <n v="11345.519"/>
  </r>
  <r>
    <n v="45"/>
    <s v="female"/>
    <n v="27.83"/>
    <n v="2"/>
    <x v="1"/>
    <x v="1"/>
    <n v="8515.7587000000003"/>
  </r>
  <r>
    <n v="26"/>
    <s v="male"/>
    <n v="31.065000000000001"/>
    <n v="0"/>
    <x v="1"/>
    <x v="2"/>
    <n v="2699.56835"/>
  </r>
  <r>
    <n v="63"/>
    <s v="female"/>
    <n v="21.66"/>
    <n v="0"/>
    <x v="1"/>
    <x v="3"/>
    <n v="14449.8544"/>
  </r>
  <r>
    <n v="58"/>
    <s v="female"/>
    <n v="28.215"/>
    <n v="0"/>
    <x v="1"/>
    <x v="2"/>
    <n v="12224.350850000001"/>
  </r>
  <r>
    <n v="37"/>
    <s v="male"/>
    <n v="22.704999999999998"/>
    <n v="3"/>
    <x v="1"/>
    <x v="3"/>
    <n v="6985.50695"/>
  </r>
  <r>
    <n v="25"/>
    <s v="female"/>
    <n v="42.13"/>
    <n v="1"/>
    <x v="1"/>
    <x v="1"/>
    <n v="3238.4357"/>
  </r>
  <r>
    <n v="52"/>
    <s v="male"/>
    <n v="41.8"/>
    <n v="2"/>
    <x v="0"/>
    <x v="1"/>
    <n v="47269.853999999999"/>
  </r>
  <r>
    <n v="64"/>
    <s v="male"/>
    <n v="36.96"/>
    <n v="2"/>
    <x v="0"/>
    <x v="1"/>
    <n v="49577.662400000001"/>
  </r>
  <r>
    <n v="22"/>
    <s v="female"/>
    <n v="21.28"/>
    <n v="3"/>
    <x v="1"/>
    <x v="2"/>
    <n v="4296.2712000000001"/>
  </r>
  <r>
    <n v="28"/>
    <s v="female"/>
    <n v="33.11"/>
    <n v="0"/>
    <x v="1"/>
    <x v="1"/>
    <n v="3171.6149"/>
  </r>
  <r>
    <n v="18"/>
    <s v="male"/>
    <n v="33.33"/>
    <n v="0"/>
    <x v="1"/>
    <x v="1"/>
    <n v="1135.9407000000001"/>
  </r>
  <r>
    <n v="28"/>
    <s v="male"/>
    <n v="24.3"/>
    <n v="5"/>
    <x v="1"/>
    <x v="0"/>
    <n v="5615.3689999999997"/>
  </r>
  <r>
    <n v="45"/>
    <s v="female"/>
    <n v="25.7"/>
    <n v="3"/>
    <x v="1"/>
    <x v="0"/>
    <n v="9101.7980000000007"/>
  </r>
  <r>
    <n v="33"/>
    <s v="male"/>
    <n v="29.4"/>
    <n v="4"/>
    <x v="1"/>
    <x v="0"/>
    <n v="6059.1729999999998"/>
  </r>
  <r>
    <n v="18"/>
    <s v="female"/>
    <n v="39.82"/>
    <n v="0"/>
    <x v="1"/>
    <x v="1"/>
    <n v="1633.9618"/>
  </r>
  <r>
    <n v="32"/>
    <s v="male"/>
    <n v="33.630000000000003"/>
    <n v="1"/>
    <x v="0"/>
    <x v="3"/>
    <n v="37607.527699999999"/>
  </r>
  <r>
    <n v="24"/>
    <s v="male"/>
    <n v="29.83"/>
    <n v="0"/>
    <x v="0"/>
    <x v="3"/>
    <n v="18648.421699999999"/>
  </r>
  <r>
    <n v="19"/>
    <s v="male"/>
    <n v="19.8"/>
    <n v="0"/>
    <x v="1"/>
    <x v="0"/>
    <n v="1241.5650000000001"/>
  </r>
  <r>
    <n v="20"/>
    <s v="male"/>
    <n v="27.3"/>
    <n v="0"/>
    <x v="0"/>
    <x v="0"/>
    <n v="16232.847"/>
  </r>
  <r>
    <n v="40"/>
    <s v="female"/>
    <n v="29.3"/>
    <n v="4"/>
    <x v="1"/>
    <x v="0"/>
    <n v="15828.82173"/>
  </r>
  <r>
    <n v="34"/>
    <s v="female"/>
    <n v="27.72"/>
    <n v="0"/>
    <x v="1"/>
    <x v="1"/>
    <n v="4415.1588000000002"/>
  </r>
  <r>
    <n v="42"/>
    <s v="female"/>
    <n v="37.9"/>
    <n v="0"/>
    <x v="1"/>
    <x v="0"/>
    <n v="6474.0129999999999"/>
  </r>
  <r>
    <n v="51"/>
    <s v="female"/>
    <n v="36.384999999999998"/>
    <n v="3"/>
    <x v="1"/>
    <x v="2"/>
    <n v="11436.738149999999"/>
  </r>
  <r>
    <n v="54"/>
    <s v="female"/>
    <n v="27.645"/>
    <n v="1"/>
    <x v="1"/>
    <x v="2"/>
    <n v="11305.93455"/>
  </r>
  <r>
    <n v="55"/>
    <s v="male"/>
    <n v="37.715000000000003"/>
    <n v="3"/>
    <x v="1"/>
    <x v="2"/>
    <n v="30063.580549999999"/>
  </r>
  <r>
    <n v="52"/>
    <s v="female"/>
    <n v="23.18"/>
    <n v="0"/>
    <x v="1"/>
    <x v="3"/>
    <n v="10197.772199999999"/>
  </r>
  <r>
    <n v="32"/>
    <s v="female"/>
    <n v="20.52"/>
    <n v="0"/>
    <x v="1"/>
    <x v="3"/>
    <n v="4544.2348000000002"/>
  </r>
  <r>
    <n v="28"/>
    <s v="male"/>
    <n v="37.1"/>
    <n v="1"/>
    <x v="1"/>
    <x v="0"/>
    <n v="3277.1610000000001"/>
  </r>
  <r>
    <n v="41"/>
    <s v="female"/>
    <n v="28.05"/>
    <n v="1"/>
    <x v="1"/>
    <x v="1"/>
    <n v="6770.1925000000001"/>
  </r>
  <r>
    <n v="43"/>
    <s v="female"/>
    <n v="29.9"/>
    <n v="1"/>
    <x v="1"/>
    <x v="0"/>
    <n v="7337.7479999999996"/>
  </r>
  <r>
    <n v="49"/>
    <s v="female"/>
    <n v="33.344999999999999"/>
    <n v="2"/>
    <x v="1"/>
    <x v="3"/>
    <n v="10370.912549999999"/>
  </r>
  <r>
    <n v="64"/>
    <s v="male"/>
    <n v="23.76"/>
    <n v="0"/>
    <x v="0"/>
    <x v="1"/>
    <n v="26926.5144"/>
  </r>
  <r>
    <n v="55"/>
    <s v="female"/>
    <n v="30.5"/>
    <n v="0"/>
    <x v="1"/>
    <x v="0"/>
    <n v="10704.47"/>
  </r>
  <r>
    <n v="24"/>
    <s v="male"/>
    <n v="31.065000000000001"/>
    <n v="0"/>
    <x v="0"/>
    <x v="3"/>
    <n v="34254.053350000002"/>
  </r>
  <r>
    <n v="20"/>
    <s v="female"/>
    <n v="33.299999999999997"/>
    <n v="0"/>
    <x v="1"/>
    <x v="0"/>
    <n v="1880.4870000000001"/>
  </r>
  <r>
    <n v="45"/>
    <s v="male"/>
    <n v="27.5"/>
    <n v="3"/>
    <x v="1"/>
    <x v="0"/>
    <n v="8615.2999999999993"/>
  </r>
  <r>
    <n v="26"/>
    <s v="male"/>
    <n v="33.914999999999999"/>
    <n v="1"/>
    <x v="1"/>
    <x v="2"/>
    <n v="3292.5298499999999"/>
  </r>
  <r>
    <n v="25"/>
    <s v="female"/>
    <n v="34.484999999999999"/>
    <n v="0"/>
    <x v="1"/>
    <x v="2"/>
    <n v="3021.80915"/>
  </r>
  <r>
    <n v="43"/>
    <s v="male"/>
    <n v="25.52"/>
    <n v="5"/>
    <x v="1"/>
    <x v="1"/>
    <n v="14478.33015"/>
  </r>
  <r>
    <n v="35"/>
    <s v="male"/>
    <n v="27.61"/>
    <n v="1"/>
    <x v="1"/>
    <x v="1"/>
    <n v="4747.0528999999997"/>
  </r>
  <r>
    <n v="26"/>
    <s v="male"/>
    <n v="27.06"/>
    <n v="0"/>
    <x v="0"/>
    <x v="1"/>
    <n v="17043.341400000001"/>
  </r>
  <r>
    <n v="57"/>
    <s v="male"/>
    <n v="23.7"/>
    <n v="0"/>
    <x v="1"/>
    <x v="0"/>
    <n v="10959.33"/>
  </r>
  <r>
    <n v="22"/>
    <s v="female"/>
    <n v="30.4"/>
    <n v="0"/>
    <x v="1"/>
    <x v="3"/>
    <n v="2741.9479999999999"/>
  </r>
  <r>
    <n v="32"/>
    <s v="female"/>
    <n v="29.734999999999999"/>
    <n v="0"/>
    <x v="1"/>
    <x v="2"/>
    <n v="4357.0436499999996"/>
  </r>
  <r>
    <n v="39"/>
    <s v="male"/>
    <n v="29.925000000000001"/>
    <n v="1"/>
    <x v="0"/>
    <x v="3"/>
    <n v="22462.043750000001"/>
  </r>
  <r>
    <n v="25"/>
    <s v="female"/>
    <n v="26.79"/>
    <n v="2"/>
    <x v="1"/>
    <x v="2"/>
    <n v="4189.1130999999996"/>
  </r>
  <r>
    <n v="48"/>
    <s v="female"/>
    <n v="33.33"/>
    <n v="0"/>
    <x v="1"/>
    <x v="1"/>
    <n v="8283.6807000000008"/>
  </r>
  <r>
    <n v="47"/>
    <s v="female"/>
    <n v="27.645"/>
    <n v="2"/>
    <x v="0"/>
    <x v="2"/>
    <n v="24535.698550000001"/>
  </r>
  <r>
    <n v="18"/>
    <s v="female"/>
    <n v="21.66"/>
    <n v="0"/>
    <x v="0"/>
    <x v="3"/>
    <n v="14283.4594"/>
  </r>
  <r>
    <n v="18"/>
    <s v="male"/>
    <n v="30.03"/>
    <n v="1"/>
    <x v="1"/>
    <x v="1"/>
    <n v="1720.3536999999999"/>
  </r>
  <r>
    <n v="61"/>
    <s v="male"/>
    <n v="36.299999999999997"/>
    <n v="1"/>
    <x v="0"/>
    <x v="0"/>
    <n v="47403.88"/>
  </r>
  <r>
    <n v="47"/>
    <s v="female"/>
    <n v="24.32"/>
    <n v="0"/>
    <x v="1"/>
    <x v="3"/>
    <n v="8534.6718000000001"/>
  </r>
  <r>
    <n v="28"/>
    <s v="female"/>
    <n v="17.29"/>
    <n v="0"/>
    <x v="1"/>
    <x v="3"/>
    <n v="3732.6251000000002"/>
  </r>
  <r>
    <n v="36"/>
    <s v="female"/>
    <n v="25.9"/>
    <n v="1"/>
    <x v="1"/>
    <x v="0"/>
    <n v="5472.4489999999996"/>
  </r>
  <r>
    <n v="20"/>
    <s v="male"/>
    <n v="39.4"/>
    <n v="2"/>
    <x v="0"/>
    <x v="0"/>
    <n v="38344.565999999999"/>
  </r>
  <r>
    <n v="44"/>
    <s v="male"/>
    <n v="34.32"/>
    <n v="1"/>
    <x v="1"/>
    <x v="1"/>
    <n v="7147.4727999999996"/>
  </r>
  <r>
    <n v="38"/>
    <s v="female"/>
    <n v="19.95"/>
    <n v="2"/>
    <x v="1"/>
    <x v="3"/>
    <n v="7133.9025000000001"/>
  </r>
  <r>
    <n v="19"/>
    <s v="male"/>
    <n v="34.9"/>
    <n v="0"/>
    <x v="0"/>
    <x v="0"/>
    <n v="34828.654000000002"/>
  </r>
  <r>
    <n v="21"/>
    <s v="male"/>
    <n v="23.21"/>
    <n v="0"/>
    <x v="1"/>
    <x v="1"/>
    <n v="1515.3449000000001"/>
  </r>
  <r>
    <n v="46"/>
    <s v="male"/>
    <n v="25.745000000000001"/>
    <n v="3"/>
    <x v="1"/>
    <x v="2"/>
    <n v="9301.8935500000007"/>
  </r>
  <r>
    <n v="58"/>
    <s v="male"/>
    <n v="25.175000000000001"/>
    <n v="0"/>
    <x v="1"/>
    <x v="3"/>
    <n v="11931.125249999999"/>
  </r>
  <r>
    <n v="20"/>
    <s v="male"/>
    <n v="22"/>
    <n v="1"/>
    <x v="1"/>
    <x v="0"/>
    <n v="1964.78"/>
  </r>
  <r>
    <n v="18"/>
    <s v="male"/>
    <n v="26.125"/>
    <n v="0"/>
    <x v="1"/>
    <x v="3"/>
    <n v="1708.9257500000001"/>
  </r>
  <r>
    <n v="28"/>
    <s v="female"/>
    <n v="26.51"/>
    <n v="2"/>
    <x v="1"/>
    <x v="1"/>
    <n v="4340.4408999999996"/>
  </r>
  <r>
    <n v="33"/>
    <s v="male"/>
    <n v="27.454999999999998"/>
    <n v="2"/>
    <x v="1"/>
    <x v="2"/>
    <n v="5261.4694499999996"/>
  </r>
  <r>
    <n v="19"/>
    <s v="female"/>
    <n v="25.745000000000001"/>
    <n v="1"/>
    <x v="1"/>
    <x v="2"/>
    <n v="2710.8285500000002"/>
  </r>
  <r>
    <n v="45"/>
    <s v="male"/>
    <n v="30.36"/>
    <n v="0"/>
    <x v="0"/>
    <x v="1"/>
    <n v="62592.873090000001"/>
  </r>
  <r>
    <n v="62"/>
    <s v="male"/>
    <n v="30.875"/>
    <n v="3"/>
    <x v="0"/>
    <x v="2"/>
    <n v="46718.163249999998"/>
  </r>
  <r>
    <n v="25"/>
    <s v="female"/>
    <n v="20.8"/>
    <n v="1"/>
    <x v="1"/>
    <x v="0"/>
    <n v="3208.7869999999998"/>
  </r>
  <r>
    <n v="43"/>
    <s v="male"/>
    <n v="27.8"/>
    <n v="0"/>
    <x v="0"/>
    <x v="0"/>
    <n v="37829.724199999997"/>
  </r>
  <r>
    <n v="42"/>
    <s v="male"/>
    <n v="24.605"/>
    <n v="2"/>
    <x v="0"/>
    <x v="3"/>
    <n v="21259.377949999998"/>
  </r>
  <r>
    <n v="24"/>
    <s v="female"/>
    <n v="27.72"/>
    <n v="0"/>
    <x v="1"/>
    <x v="1"/>
    <n v="2464.6188000000002"/>
  </r>
  <r>
    <n v="29"/>
    <s v="female"/>
    <n v="21.85"/>
    <n v="0"/>
    <x v="0"/>
    <x v="3"/>
    <n v="16115.3045"/>
  </r>
  <r>
    <n v="32"/>
    <s v="male"/>
    <n v="28.12"/>
    <n v="4"/>
    <x v="0"/>
    <x v="2"/>
    <n v="21472.478800000001"/>
  </r>
  <r>
    <n v="25"/>
    <s v="female"/>
    <n v="30.2"/>
    <n v="0"/>
    <x v="0"/>
    <x v="0"/>
    <n v="33900.652999999998"/>
  </r>
  <r>
    <n v="41"/>
    <s v="male"/>
    <n v="32.200000000000003"/>
    <n v="2"/>
    <x v="1"/>
    <x v="0"/>
    <n v="6875.9610000000002"/>
  </r>
  <r>
    <n v="42"/>
    <s v="male"/>
    <n v="26.315000000000001"/>
    <n v="1"/>
    <x v="1"/>
    <x v="2"/>
    <n v="6940.90985"/>
  </r>
  <r>
    <n v="33"/>
    <s v="female"/>
    <n v="26.695"/>
    <n v="0"/>
    <x v="1"/>
    <x v="2"/>
    <n v="4571.4130500000001"/>
  </r>
  <r>
    <n v="34"/>
    <s v="male"/>
    <n v="42.9"/>
    <n v="1"/>
    <x v="1"/>
    <x v="0"/>
    <n v="4536.259"/>
  </r>
  <r>
    <n v="19"/>
    <s v="female"/>
    <n v="34.700000000000003"/>
    <n v="2"/>
    <x v="0"/>
    <x v="0"/>
    <n v="36397.576000000001"/>
  </r>
  <r>
    <n v="30"/>
    <s v="female"/>
    <n v="23.655000000000001"/>
    <n v="3"/>
    <x v="0"/>
    <x v="2"/>
    <n v="18765.87545"/>
  </r>
  <r>
    <n v="18"/>
    <s v="male"/>
    <n v="28.31"/>
    <n v="1"/>
    <x v="1"/>
    <x v="3"/>
    <n v="11272.331389999999"/>
  </r>
  <r>
    <n v="19"/>
    <s v="female"/>
    <n v="20.6"/>
    <n v="0"/>
    <x v="1"/>
    <x v="0"/>
    <n v="1731.6769999999999"/>
  </r>
  <r>
    <n v="18"/>
    <s v="male"/>
    <n v="53.13"/>
    <n v="0"/>
    <x v="1"/>
    <x v="1"/>
    <n v="1163.4627"/>
  </r>
  <r>
    <n v="35"/>
    <s v="male"/>
    <n v="39.71"/>
    <n v="4"/>
    <x v="1"/>
    <x v="3"/>
    <n v="19496.71917"/>
  </r>
  <r>
    <n v="39"/>
    <s v="female"/>
    <n v="26.315000000000001"/>
    <n v="2"/>
    <x v="1"/>
    <x v="2"/>
    <n v="7201.7008500000002"/>
  </r>
  <r>
    <n v="31"/>
    <s v="male"/>
    <n v="31.065000000000001"/>
    <n v="3"/>
    <x v="1"/>
    <x v="2"/>
    <n v="5425.0233500000004"/>
  </r>
  <r>
    <n v="62"/>
    <s v="male"/>
    <n v="26.695"/>
    <n v="0"/>
    <x v="0"/>
    <x v="3"/>
    <n v="28101.333050000001"/>
  </r>
  <r>
    <n v="62"/>
    <s v="male"/>
    <n v="38.83"/>
    <n v="0"/>
    <x v="1"/>
    <x v="1"/>
    <n v="12981.3457"/>
  </r>
  <r>
    <n v="42"/>
    <s v="female"/>
    <n v="40.369999999999997"/>
    <n v="2"/>
    <x v="0"/>
    <x v="1"/>
    <n v="43896.376300000004"/>
  </r>
  <r>
    <n v="31"/>
    <s v="male"/>
    <n v="25.934999999999999"/>
    <n v="1"/>
    <x v="1"/>
    <x v="2"/>
    <n v="4239.8926499999998"/>
  </r>
  <r>
    <n v="61"/>
    <s v="male"/>
    <n v="33.534999999999997"/>
    <n v="0"/>
    <x v="1"/>
    <x v="3"/>
    <n v="13143.336649999999"/>
  </r>
  <r>
    <n v="42"/>
    <s v="female"/>
    <n v="32.869999999999997"/>
    <n v="0"/>
    <x v="1"/>
    <x v="3"/>
    <n v="7050.0213000000003"/>
  </r>
  <r>
    <n v="51"/>
    <s v="male"/>
    <n v="30.03"/>
    <n v="1"/>
    <x v="1"/>
    <x v="1"/>
    <n v="9377.9046999999991"/>
  </r>
  <r>
    <n v="23"/>
    <s v="female"/>
    <n v="24.225000000000001"/>
    <n v="2"/>
    <x v="1"/>
    <x v="3"/>
    <n v="22395.74424"/>
  </r>
  <r>
    <n v="52"/>
    <s v="male"/>
    <n v="38.6"/>
    <n v="2"/>
    <x v="1"/>
    <x v="0"/>
    <n v="10325.206"/>
  </r>
  <r>
    <n v="57"/>
    <s v="female"/>
    <n v="25.74"/>
    <n v="2"/>
    <x v="1"/>
    <x v="1"/>
    <n v="12629.1656"/>
  </r>
  <r>
    <n v="23"/>
    <s v="female"/>
    <n v="33.4"/>
    <n v="0"/>
    <x v="1"/>
    <x v="0"/>
    <n v="10795.937330000001"/>
  </r>
  <r>
    <n v="52"/>
    <s v="female"/>
    <n v="44.7"/>
    <n v="3"/>
    <x v="1"/>
    <x v="0"/>
    <n v="11411.684999999999"/>
  </r>
  <r>
    <n v="50"/>
    <s v="male"/>
    <n v="30.97"/>
    <n v="3"/>
    <x v="1"/>
    <x v="2"/>
    <n v="10600.5483"/>
  </r>
  <r>
    <n v="18"/>
    <s v="female"/>
    <n v="31.92"/>
    <n v="0"/>
    <x v="1"/>
    <x v="3"/>
    <n v="2205.9807999999998"/>
  </r>
  <r>
    <n v="18"/>
    <s v="female"/>
    <n v="36.85"/>
    <n v="0"/>
    <x v="1"/>
    <x v="1"/>
    <n v="1629.8335"/>
  </r>
  <r>
    <n v="21"/>
    <s v="female"/>
    <n v="25.8"/>
    <n v="0"/>
    <x v="1"/>
    <x v="0"/>
    <n v="2007.9449999999999"/>
  </r>
  <r>
    <n v="61"/>
    <s v="female"/>
    <n v="29.07"/>
    <n v="0"/>
    <x v="0"/>
    <x v="2"/>
    <n v="29141.3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7DF61-4BE0-4546-A267-16542FE9B0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EX">
  <location ref="J6:K9" firstHeaderRow="1" firstDataRow="1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Medical Charges" fld="6" subtotal="average" baseField="1" baseItem="0"/>
  </dataFields>
  <formats count="2">
    <format dxfId="25">
      <pivotArea collapsedLevelsAreSubtotals="1" fieldPosition="0">
        <references count="1">
          <reference field="1" count="1">
            <x v="0"/>
          </reference>
        </references>
      </pivotArea>
    </format>
    <format dxfId="24">
      <pivotArea collapsedLevelsAreSubtotals="1" fieldPosition="0">
        <references count="1">
          <reference field="1" count="1">
            <x v="1"/>
          </reference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0A238-1797-4150-939E-AC7FB403E5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X">
  <location ref="J12:K15" firstHeaderRow="1" firstDataRow="1" firstDataCol="1"/>
  <pivotFields count="7"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Bmi" fld="2" subtotal="average" baseField="1" baseItem="0"/>
  </dataFields>
  <formats count="2">
    <format dxfId="27">
      <pivotArea collapsedLevelsAreSubtotals="1" fieldPosition="0">
        <references count="1">
          <reference field="1" count="1">
            <x v="0"/>
          </reference>
        </references>
      </pivotArea>
    </format>
    <format dxfId="26">
      <pivotArea collapsedLevelsAreSubtotals="1" fieldPosition="0">
        <references count="1">
          <reference field="1" count="1">
            <x v="1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A408A-0D30-4673-BC1B-B9B3A4E982F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Smoker">
  <location ref="J6:K9" firstHeaderRow="1" firstDataRow="1" firstDataCol="1"/>
  <pivotFields count="7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Charges" fld="6" subtotal="average" baseField="4" baseItem="0"/>
  </dataFields>
  <formats count="3">
    <format dxfId="23">
      <pivotArea collapsedLevelsAreSubtotals="1" fieldPosition="0">
        <references count="1">
          <reference field="4" count="1">
            <x v="0"/>
          </reference>
        </references>
      </pivotArea>
    </format>
    <format dxfId="22">
      <pivotArea collapsedLevelsAreSubtotals="1" fieldPosition="0">
        <references count="1">
          <reference field="4" count="1">
            <x v="1"/>
          </reference>
        </references>
      </pivotArea>
    </format>
    <format dxfId="21">
      <pivotArea grandRow="1" outline="0" collapsedLevelsAreSubtotals="1" fieldPosition="0"/>
    </format>
  </format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D9DD0-AAED-49AD-A850-475084C34AE7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DEPENDENTS/CHILDREN">
  <location ref="J17:K24" firstHeaderRow="1" firstDataRow="1" firstDataCol="1"/>
  <pivotFields count="7">
    <pivotField showAll="0"/>
    <pivotField showAll="0"/>
    <pivotField showAll="0"/>
    <pivotField axis="axisRow" showAll="0">
      <items count="7">
        <item x="0"/>
        <item x="1"/>
        <item x="3"/>
        <item x="2"/>
        <item x="5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harges" fld="6" subtotal="average" baseField="3" baseItem="0"/>
  </dataFields>
  <formats count="7">
    <format dxfId="20">
      <pivotArea collapsedLevelsAreSubtotals="1" fieldPosition="0">
        <references count="1">
          <reference field="3" count="1">
            <x v="0"/>
          </reference>
        </references>
      </pivotArea>
    </format>
    <format dxfId="19">
      <pivotArea collapsedLevelsAreSubtotals="1" fieldPosition="0">
        <references count="1">
          <reference field="3" count="1">
            <x v="1"/>
          </reference>
        </references>
      </pivotArea>
    </format>
    <format dxfId="18">
      <pivotArea collapsedLevelsAreSubtotals="1" fieldPosition="0">
        <references count="1">
          <reference field="3" count="1">
            <x v="2"/>
          </reference>
        </references>
      </pivotArea>
    </format>
    <format dxfId="17">
      <pivotArea collapsedLevelsAreSubtotals="1" fieldPosition="0">
        <references count="1">
          <reference field="3" count="1">
            <x v="3"/>
          </reference>
        </references>
      </pivotArea>
    </format>
    <format dxfId="16">
      <pivotArea collapsedLevelsAreSubtotals="1" fieldPosition="0">
        <references count="1">
          <reference field="3" count="1">
            <x v="4"/>
          </reference>
        </references>
      </pivotArea>
    </format>
    <format dxfId="15">
      <pivotArea collapsedLevelsAreSubtotals="1" fieldPosition="0">
        <references count="1">
          <reference field="3" count="1">
            <x v="5"/>
          </reference>
        </references>
      </pivotArea>
    </format>
    <format dxfId="14">
      <pivotArea grandRow="1"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291EE-DB31-4694-85C6-EA9CE95E602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Region">
  <location ref="I5:K10" firstHeaderRow="0" firstDataRow="1" firstDataCol="1"/>
  <pivotFields count="7">
    <pivotField showAll="0"/>
    <pivotField showAll="0"/>
    <pivotField dataField="1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mi" fld="2" subtotal="average" baseField="5" baseItem="0"/>
    <dataField name="Average of Charges" fld="6" subtotal="average" baseField="5" baseItem="0"/>
  </dataFields>
  <formats count="10">
    <format dxfId="13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5" count="1">
            <x v="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5" count="1">
            <x v="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5" count="1">
            <x v="3"/>
          </reference>
        </references>
      </pivotArea>
    </format>
    <format dxfId="9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5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5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5" count="1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5" count="1">
            <x v="3"/>
          </reference>
        </references>
      </pivotArea>
    </format>
    <format dxfId="4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E82EE-1BD9-4F71-BBB0-0E2657158F32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J5:K10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arg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EAA20-8AB8-4105-90AD-691A6F130E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moker Region">
  <location ref="I5:J11" firstHeaderRow="1" firstDataRow="1" firstDataCol="1"/>
  <pivotFields count="7">
    <pivotField showAll="0"/>
    <pivotField showAll="0"/>
    <pivotField showAll="0"/>
    <pivotField showAll="0"/>
    <pivotField axis="axisRow" showAll="0">
      <items count="3">
        <item h="1"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2">
    <field x="4"/>
    <field x="5"/>
  </rowFields>
  <rowItems count="6"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Charges" fld="6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EF769-63F5-46A2-AC4A-49BFF18C2C11}" name="Table1" displayName="Table1" ref="A1:G1339" totalsRowShown="0">
  <autoFilter ref="A1:G1339" xr:uid="{555EF769-63F5-46A2-AC4A-49BFF18C2C11}"/>
  <tableColumns count="7">
    <tableColumn id="1" xr3:uid="{3F9D5AD1-3BE5-444D-994D-F7238E8D8E06}" name="Age"/>
    <tableColumn id="2" xr3:uid="{71D33B37-7FC1-4017-A1BB-08DC271B7CA0}" name="Sex"/>
    <tableColumn id="3" xr3:uid="{2D01D505-5779-48EB-9A51-AC02F7747346}" name="Bmi"/>
    <tableColumn id="4" xr3:uid="{C2C368D7-8030-4431-A990-0F8B8192DB48}" name="Children"/>
    <tableColumn id="5" xr3:uid="{43773734-A239-439D-B191-4FDB448E8177}" name="Smoker"/>
    <tableColumn id="6" xr3:uid="{3221D14C-0F7D-40FE-8F8C-908FB15A8369}" name="Region"/>
    <tableColumn id="7" xr3:uid="{6EAAE772-59FD-4BDA-9089-787324CC0665}" name="Charg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A95352-2B69-4F0B-9BEC-A26BBB937C59}" name="Table14" displayName="Table14" ref="A1:G1339" totalsRowShown="0">
  <autoFilter ref="A1:G1339" xr:uid="{CAA95352-2B69-4F0B-9BEC-A26BBB937C59}"/>
  <tableColumns count="7">
    <tableColumn id="1" xr3:uid="{6132DAFA-F83B-441D-A86D-8036ED894D47}" name="Age"/>
    <tableColumn id="2" xr3:uid="{D972AAC2-819F-450B-8C4B-A61587DDF38D}" name="Sex"/>
    <tableColumn id="3" xr3:uid="{79D55A9D-734E-4232-8B62-5F9FF498E3AC}" name="Bmi"/>
    <tableColumn id="4" xr3:uid="{367056EE-7550-4761-9B9D-ED1A1B4D720D}" name="Children"/>
    <tableColumn id="5" xr3:uid="{8572BE94-E9D6-4F26-9AF0-D0E830EB23CF}" name="Smoker"/>
    <tableColumn id="6" xr3:uid="{F9F76ED2-090D-4DD3-82AC-B3ADCEAB4327}" name="Region"/>
    <tableColumn id="7" xr3:uid="{81264AD1-0B8F-4EF6-A13F-3CAE1E1E07F7}" name="Charg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5822A7-477B-4B4A-AE11-088F6272406B}" name="Table16" displayName="Table16" ref="A1:G1339" totalsRowShown="0">
  <autoFilter ref="A1:G1339" xr:uid="{0B5822A7-477B-4B4A-AE11-088F6272406B}"/>
  <tableColumns count="7">
    <tableColumn id="1" xr3:uid="{7431D75D-7F63-418E-8160-A97231ED3BDF}" name="Age"/>
    <tableColumn id="2" xr3:uid="{54EAAF2B-DCFA-4102-A7C5-A6C4C3392CCC}" name="Sex"/>
    <tableColumn id="3" xr3:uid="{4508EB09-E08C-49DF-B8DD-D1474C614554}" name="Bmi"/>
    <tableColumn id="4" xr3:uid="{82AA25C0-219A-4E0C-8109-7A01BDE2BFBB}" name="Children"/>
    <tableColumn id="5" xr3:uid="{3F517D95-BD00-414D-A257-B0A83A60C715}" name="Smoker"/>
    <tableColumn id="6" xr3:uid="{F0FA4D1B-BE3B-417C-B6E6-30822A7F45E2}" name="Region"/>
    <tableColumn id="7" xr3:uid="{D2E424C8-30BA-495C-8597-3E0DDE6173E3}" name="Charg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B17E9C-DADE-4684-8F98-B6C7CF90207E}" name="Table17" displayName="Table17" ref="A1:G1339" totalsRowShown="0">
  <autoFilter ref="A1:G1339" xr:uid="{29B17E9C-DADE-4684-8F98-B6C7CF90207E}"/>
  <tableColumns count="7">
    <tableColumn id="1" xr3:uid="{C240DE6D-5423-4DB3-9382-8D95C5158593}" name="Age"/>
    <tableColumn id="2" xr3:uid="{2F11134A-64DF-4A30-AFE1-E47DEE6BAC5E}" name="Sex"/>
    <tableColumn id="3" xr3:uid="{993FA1CF-5FC3-4788-88BA-56F7EA70B6ED}" name="Bmi"/>
    <tableColumn id="4" xr3:uid="{A8A379FF-C92F-41A5-80D5-28D40B81B8BD}" name="Children"/>
    <tableColumn id="5" xr3:uid="{33A71226-EA43-489C-93B9-3988C6FAFF90}" name="Smoker"/>
    <tableColumn id="6" xr3:uid="{33847DC5-A06E-4207-8E52-6262C2ABBC3B}" name="Region"/>
    <tableColumn id="7" xr3:uid="{A61124F2-8E06-4504-AB69-085B1E366D6B}" name="Charg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2B87AC-5454-4955-A82F-56704B8252FA}" name="Table110" displayName="Table110" ref="A1:G1339" totalsRowShown="0">
  <autoFilter ref="A1:G1339" xr:uid="{8E2B87AC-5454-4955-A82F-56704B8252FA}"/>
  <tableColumns count="7">
    <tableColumn id="1" xr3:uid="{D56772A4-EAB5-44B4-8FD9-BC69B5AFCABC}" name="Age"/>
    <tableColumn id="2" xr3:uid="{88954C7A-60DD-43EF-B0DA-C4EDB2DA0DEE}" name="Sex"/>
    <tableColumn id="3" xr3:uid="{F7F2B630-9569-4A8A-92C1-BC0009A438E6}" name="Bmi"/>
    <tableColumn id="4" xr3:uid="{CE7DF24D-9482-468D-8108-E6168D5D1ED9}" name="Children"/>
    <tableColumn id="5" xr3:uid="{B58248B2-A5AC-4231-9262-DE2EA8004183}" name="Smoker"/>
    <tableColumn id="6" xr3:uid="{0EBE7599-A711-4935-B9CB-C880DBA52D99}" name="Region"/>
    <tableColumn id="7" xr3:uid="{B65D2BCC-F92E-4F2A-9258-96372E5DCCDA}" name="Charg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160F48-665E-4E8B-831D-325AD3B7617C}" name="Table18" displayName="Table18" ref="A1:G1339" totalsRowShown="0">
  <autoFilter ref="A1:G1339" xr:uid="{05160F48-665E-4E8B-831D-325AD3B7617C}"/>
  <tableColumns count="7">
    <tableColumn id="1" xr3:uid="{6F2E0039-E6B9-4A5B-B003-EC306C876F28}" name="Age"/>
    <tableColumn id="2" xr3:uid="{2910366D-A072-43D8-AC85-F05E09E083AD}" name="Sex"/>
    <tableColumn id="3" xr3:uid="{72926022-92CE-4936-A59B-57C117B52B67}" name="Bmi"/>
    <tableColumn id="4" xr3:uid="{D0C88EC7-0C2E-4614-8351-D9D5483B5920}" name="Children"/>
    <tableColumn id="5" xr3:uid="{95DAC0E1-F752-41AA-B09A-C16D3B0EE7BB}" name="Smoker"/>
    <tableColumn id="6" xr3:uid="{5B66529B-9DEC-40CC-8591-206A16F6454D}" name="Region"/>
    <tableColumn id="7" xr3:uid="{3A202C6B-96BE-4334-ABB3-6ADDE0205322}" name="Charg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07E212-CA55-4F4A-976B-F3F0744CD8E5}" name="Table19" displayName="Table19" ref="A1:G1339" totalsRowShown="0">
  <autoFilter ref="A1:G1339" xr:uid="{FB07E212-CA55-4F4A-976B-F3F0744CD8E5}"/>
  <tableColumns count="7">
    <tableColumn id="1" xr3:uid="{4A3EBA9C-F38E-492A-AA11-41C38939A8D5}" name="Age"/>
    <tableColumn id="2" xr3:uid="{B966D7C4-4B2A-445A-876A-D6FD8A67D7ED}" name="Sex"/>
    <tableColumn id="3" xr3:uid="{BAAE5922-8BA7-454F-A574-BA2E56C38B94}" name="Bmi"/>
    <tableColumn id="4" xr3:uid="{1855B245-F16D-4B1D-B7F9-A7338E86E984}" name="Children"/>
    <tableColumn id="5" xr3:uid="{A2526E20-9693-4513-9B0D-56B5B3A6D624}" name="Smoker"/>
    <tableColumn id="6" xr3:uid="{B903FB81-BE07-4AF2-A7D5-C32EE9395C5C}" name="Region"/>
    <tableColumn id="7" xr3:uid="{584C7CBD-6353-45B1-AC91-2B7A68FE42C0}" name="Charg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68B61-B02F-4EF7-90DB-0CCC72FF625D}" name="Table13" displayName="Table13" ref="A1:G1339" totalsRowShown="0">
  <autoFilter ref="A1:G1339" xr:uid="{90B68B61-B02F-4EF7-90DB-0CCC72FF625D}"/>
  <tableColumns count="7">
    <tableColumn id="1" xr3:uid="{E33B5A44-A518-445F-B0CC-D53519A91F52}" name="Age"/>
    <tableColumn id="2" xr3:uid="{AC17DB6A-A515-4F5E-9442-255078288496}" name="Sex"/>
    <tableColumn id="3" xr3:uid="{83F046E1-7E2B-4286-86F7-018D5057FC9D}" name="Bmi"/>
    <tableColumn id="4" xr3:uid="{6D97625D-7E5A-4269-9229-CA1E1D9CA34C}" name="Children"/>
    <tableColumn id="5" xr3:uid="{05DA6454-25F8-48B3-ACE9-8BC2C67E101D}" name="Smoker"/>
    <tableColumn id="6" xr3:uid="{10E02897-F9C8-4C5A-925F-C0D33B53B4FD}" name="Region"/>
    <tableColumn id="7" xr3:uid="{D2094DC6-85B6-40A7-A910-F0D77E9C35AF}" name="Charg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5CEA7C-872D-46F2-953A-D78D63EA78DA}" name="Table4" displayName="Table4" ref="J6:L10" totalsRowShown="0" headerRowDxfId="3">
  <autoFilter ref="J6:L10" xr:uid="{0B5CEA7C-872D-46F2-953A-D78D63EA78DA}"/>
  <tableColumns count="3">
    <tableColumn id="1" xr3:uid="{829C4A55-9EAC-43B0-AF6F-89AACDC3ECBF}" name="Range" dataDxfId="2"/>
    <tableColumn id="2" xr3:uid="{192D3258-CB8E-45F3-94AB-ACCAFDA1DFF0}" name="Category" dataDxfId="1"/>
    <tableColumn id="3" xr3:uid="{1127B917-8B0C-4DB8-BF41-2B080FAF77EA}" name="Count" dataDxfId="0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2C85E7-769D-4EB2-AC8A-3912F9335D4B}" name="Table111" displayName="Table111" ref="A1:G1339" totalsRowShown="0">
  <autoFilter ref="A1:G1339" xr:uid="{782C85E7-769D-4EB2-AC8A-3912F9335D4B}"/>
  <tableColumns count="7">
    <tableColumn id="1" xr3:uid="{D9F0B484-3A7B-4905-84A6-FD56790CB0D1}" name="Age"/>
    <tableColumn id="2" xr3:uid="{6F687FF9-B3F1-4742-96E8-A5B5DA80D634}" name="Sex"/>
    <tableColumn id="3" xr3:uid="{A29255CE-9754-47BE-A7AC-B45F80F5F81A}" name="Bmi"/>
    <tableColumn id="4" xr3:uid="{B290560D-976F-4244-8D58-ACF88AD5BB0F}" name="Children"/>
    <tableColumn id="5" xr3:uid="{8B333BC1-68C5-487E-BB85-B7A2268142E8}" name="Smoker"/>
    <tableColumn id="6" xr3:uid="{047F83C0-98BC-410C-B1FF-B593B6240306}" name="Region"/>
    <tableColumn id="7" xr3:uid="{BE5675BA-980F-4016-AACA-92C340D47EC4}" name="Charg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3A459FD-831C-4C7A-A68B-259ABF8085CA}" name="Table112" displayName="Table112" ref="A1:G1339" totalsRowShown="0">
  <autoFilter ref="A1:G1339" xr:uid="{43A459FD-831C-4C7A-A68B-259ABF8085CA}"/>
  <tableColumns count="7">
    <tableColumn id="1" xr3:uid="{D72239DA-B814-4CCF-A79D-99884EB0B786}" name="Age"/>
    <tableColumn id="2" xr3:uid="{36C531A4-6544-454A-94D5-2D2FB9F620DD}" name="Sex"/>
    <tableColumn id="3" xr3:uid="{D83BFA7A-D251-4BF9-B8B5-EE9145767BD4}" name="Bmi"/>
    <tableColumn id="4" xr3:uid="{4ACC905D-3C91-42E1-936A-0E1B67C19FE6}" name="Children"/>
    <tableColumn id="5" xr3:uid="{4E606A80-B340-4F8B-B16F-3842EC4AB0B6}" name="Smoker"/>
    <tableColumn id="6" xr3:uid="{DD6FEEC1-7C31-4FF4-BB3C-9CEB45EA8841}" name="Region"/>
    <tableColumn id="7" xr3:uid="{019BF3BF-5349-44ED-8FA6-0E4493918BC1}" name="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B2A1-2501-4C4A-9640-68F618D27934}">
  <dimension ref="A1:L1339"/>
  <sheetViews>
    <sheetView workbookViewId="0">
      <selection activeCell="J21" sqref="J21"/>
    </sheetView>
  </sheetViews>
  <sheetFormatPr defaultRowHeight="14.4" x14ac:dyDescent="0.3"/>
  <cols>
    <col min="4" max="4" width="9.88671875" customWidth="1"/>
    <col min="5" max="5" width="9.33203125" customWidth="1"/>
    <col min="7" max="7" width="9.5546875" customWidth="1"/>
    <col min="10" max="10" width="15" customWidth="1"/>
    <col min="11" max="11" width="19.77734375" customWidth="1"/>
    <col min="12" max="12" width="17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2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12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2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  <c r="K5" s="1"/>
      <c r="L5" s="1"/>
    </row>
    <row r="6" spans="1:12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  <c r="K6" s="1"/>
      <c r="L6" s="1"/>
    </row>
    <row r="7" spans="1:12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K7" s="1"/>
      <c r="L7" s="1"/>
    </row>
    <row r="8" spans="1:12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K8" s="1"/>
      <c r="L8" s="1"/>
    </row>
    <row r="9" spans="1:12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  <c r="K9" s="1"/>
      <c r="L9" s="1"/>
    </row>
    <row r="10" spans="1:12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</row>
    <row r="11" spans="1:12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2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</row>
    <row r="13" spans="1:12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12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12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12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9CBC-25F3-404E-81DE-0C68B0ACA0D5}">
  <dimension ref="A1:L1339"/>
  <sheetViews>
    <sheetView topLeftCell="B1" zoomScale="69" workbookViewId="0">
      <selection activeCell="AE12" sqref="AE12"/>
    </sheetView>
  </sheetViews>
  <sheetFormatPr defaultRowHeight="14.4" x14ac:dyDescent="0.3"/>
  <cols>
    <col min="4" max="4" width="11.109375" customWidth="1"/>
    <col min="5" max="5" width="11" customWidth="1"/>
    <col min="6" max="6" width="10.5546875" customWidth="1"/>
    <col min="7" max="7" width="11.109375" customWidth="1"/>
    <col min="11" max="11" width="17.33203125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2" ht="18" x14ac:dyDescent="0.3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K3" s="5" t="s">
        <v>36</v>
      </c>
    </row>
    <row r="4" spans="1:12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2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</row>
    <row r="6" spans="1:12" ht="18" x14ac:dyDescent="0.3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  <c r="K6" s="5" t="s">
        <v>18</v>
      </c>
    </row>
    <row r="7" spans="1:12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K7" s="2" t="s">
        <v>19</v>
      </c>
      <c r="L7" s="3">
        <f>AVERAGE(A:A)</f>
        <v>39.207025411061288</v>
      </c>
    </row>
    <row r="8" spans="1:12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K8" s="4" t="s">
        <v>20</v>
      </c>
      <c r="L8" s="3">
        <f>AVERAGE(C:C)</f>
        <v>30.663396860986538</v>
      </c>
    </row>
    <row r="9" spans="1:12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  <c r="K9" s="2" t="s">
        <v>21</v>
      </c>
      <c r="L9" s="3">
        <f>AVERAGE(G:G)</f>
        <v>13270.422265141257</v>
      </c>
    </row>
    <row r="10" spans="1:12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</row>
    <row r="11" spans="1:12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2" ht="18" x14ac:dyDescent="0.3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  <c r="K12" s="5" t="s">
        <v>22</v>
      </c>
    </row>
    <row r="13" spans="1:12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K13" s="2" t="s">
        <v>23</v>
      </c>
      <c r="L13" s="3">
        <f>MEDIAN(A:A)</f>
        <v>39</v>
      </c>
    </row>
    <row r="14" spans="1:12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K14" s="4" t="s">
        <v>24</v>
      </c>
      <c r="L14" s="3">
        <f>MEDIAN(C:C)</f>
        <v>30.4</v>
      </c>
    </row>
    <row r="15" spans="1:12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K15" s="2" t="s">
        <v>25</v>
      </c>
      <c r="L15" s="3">
        <f>MEDIAN(G:G)</f>
        <v>9382.0329999999994</v>
      </c>
    </row>
    <row r="16" spans="1:12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12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12" ht="18" x14ac:dyDescent="0.3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  <c r="K18" s="5" t="s">
        <v>26</v>
      </c>
    </row>
    <row r="19" spans="1:12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  <c r="K19" s="2" t="s">
        <v>27</v>
      </c>
      <c r="L19" s="3">
        <f>_xlfn.STDEV.P(A:A)</f>
        <v>14.044709038954522</v>
      </c>
    </row>
    <row r="20" spans="1:12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K20" s="4" t="s">
        <v>28</v>
      </c>
      <c r="L20" s="3">
        <f>_xlfn.STDEV.P(C:C)</f>
        <v>6.0959076415893865</v>
      </c>
    </row>
    <row r="21" spans="1:12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  <c r="K21" s="2" t="s">
        <v>29</v>
      </c>
      <c r="L21" s="3">
        <f>_xlfn.STDEV.P(G:G)</f>
        <v>12105.484975561621</v>
      </c>
    </row>
    <row r="22" spans="1:12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12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12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12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12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12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12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12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12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12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12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33AD-14A7-440A-B46C-A7106AED5152}">
  <dimension ref="A1:K1339"/>
  <sheetViews>
    <sheetView topLeftCell="E1" zoomScale="71" workbookViewId="0">
      <selection activeCell="Z10" sqref="Z10"/>
    </sheetView>
  </sheetViews>
  <sheetFormatPr defaultRowHeight="14.4" x14ac:dyDescent="0.3"/>
  <cols>
    <col min="10" max="10" width="12.5546875" bestFit="1" customWidth="1"/>
    <col min="11" max="11" width="22.6640625" customWidth="1"/>
    <col min="13" max="13" width="12.5546875" bestFit="1" customWidth="1"/>
    <col min="14" max="14" width="17" customWidth="1"/>
    <col min="17" max="17" width="15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1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11" ht="18" x14ac:dyDescent="0.3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K4" s="5" t="s">
        <v>32</v>
      </c>
    </row>
    <row r="5" spans="1:11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</row>
    <row r="6" spans="1:11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  <c r="J6" s="6" t="s">
        <v>31</v>
      </c>
      <c r="K6" t="s">
        <v>33</v>
      </c>
    </row>
    <row r="7" spans="1:11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J7" s="7" t="s">
        <v>7</v>
      </c>
      <c r="K7" s="1">
        <v>12569.578843835339</v>
      </c>
    </row>
    <row r="8" spans="1:11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J8" s="7" t="s">
        <v>10</v>
      </c>
      <c r="K8" s="1">
        <v>13956.751177721886</v>
      </c>
    </row>
    <row r="9" spans="1:11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  <c r="J9" s="7" t="s">
        <v>17</v>
      </c>
      <c r="K9">
        <v>13270.422265141258</v>
      </c>
    </row>
    <row r="10" spans="1:11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</row>
    <row r="11" spans="1:11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1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  <c r="J12" s="6" t="s">
        <v>31</v>
      </c>
      <c r="K12" t="s">
        <v>14</v>
      </c>
    </row>
    <row r="13" spans="1:11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J13" s="7" t="s">
        <v>7</v>
      </c>
      <c r="K13" s="1">
        <v>30.377749244713023</v>
      </c>
    </row>
    <row r="14" spans="1:11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J14" s="7" t="s">
        <v>10</v>
      </c>
      <c r="K14" s="1">
        <v>30.943128698224832</v>
      </c>
    </row>
    <row r="15" spans="1:11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J15" s="7" t="s">
        <v>17</v>
      </c>
      <c r="K15">
        <v>30.663396860986584</v>
      </c>
    </row>
    <row r="16" spans="1:11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71B9-6758-4261-91CE-05445E2529FE}">
  <dimension ref="A1:K1339"/>
  <sheetViews>
    <sheetView topLeftCell="E1" workbookViewId="0">
      <selection activeCell="V7" sqref="V7"/>
    </sheetView>
  </sheetViews>
  <sheetFormatPr defaultRowHeight="14.4" x14ac:dyDescent="0.3"/>
  <cols>
    <col min="10" max="10" width="12.5546875" bestFit="1" customWidth="1"/>
    <col min="11" max="11" width="1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1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11" ht="18" x14ac:dyDescent="0.3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J4" s="5" t="s">
        <v>37</v>
      </c>
    </row>
    <row r="5" spans="1:11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</row>
    <row r="6" spans="1:11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  <c r="J6" s="6" t="s">
        <v>4</v>
      </c>
      <c r="K6" t="s">
        <v>13</v>
      </c>
    </row>
    <row r="7" spans="1:11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J7" s="7" t="s">
        <v>11</v>
      </c>
      <c r="K7" s="1">
        <v>8434.2682978561988</v>
      </c>
    </row>
    <row r="8" spans="1:11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J8" s="7" t="s">
        <v>8</v>
      </c>
      <c r="K8" s="1">
        <v>32050.231831532848</v>
      </c>
    </row>
    <row r="9" spans="1:11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  <c r="J9" s="7" t="s">
        <v>17</v>
      </c>
      <c r="K9" s="1">
        <v>13270.422265141251</v>
      </c>
    </row>
    <row r="10" spans="1:11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</row>
    <row r="11" spans="1:11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1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</row>
    <row r="13" spans="1:11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11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11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11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333D-00C8-4510-A828-D3AF2C51A670}">
  <dimension ref="A1:K1339"/>
  <sheetViews>
    <sheetView topLeftCell="A8" zoomScale="73" workbookViewId="0">
      <selection activeCell="Q14" sqref="Q14"/>
    </sheetView>
  </sheetViews>
  <sheetFormatPr defaultRowHeight="14.4" x14ac:dyDescent="0.3"/>
  <cols>
    <col min="10" max="10" width="24.44140625" customWidth="1"/>
    <col min="11" max="11" width="1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1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11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1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</row>
    <row r="6" spans="1:11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</row>
    <row r="7" spans="1:11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11" ht="18" x14ac:dyDescent="0.3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K8" s="9"/>
    </row>
    <row r="9" spans="1:11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</row>
    <row r="10" spans="1:11" ht="17.399999999999999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  <c r="J10" s="11" t="s">
        <v>38</v>
      </c>
    </row>
    <row r="11" spans="1:11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1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</row>
    <row r="13" spans="1:11" ht="15.6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J13" s="10" t="s">
        <v>35</v>
      </c>
      <c r="K13" s="12">
        <f>CORREL(D:D,G:G)</f>
        <v>6.7998226847905102E-2</v>
      </c>
    </row>
    <row r="14" spans="1:11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11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11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11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J17" s="6" t="s">
        <v>34</v>
      </c>
      <c r="K17" t="s">
        <v>13</v>
      </c>
    </row>
    <row r="18" spans="1:11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  <c r="J18" s="7">
        <v>0</v>
      </c>
      <c r="K18" s="1">
        <v>12365.975601635882</v>
      </c>
    </row>
    <row r="19" spans="1:11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  <c r="J19" s="7">
        <v>1</v>
      </c>
      <c r="K19" s="1">
        <v>12731.171831635793</v>
      </c>
    </row>
    <row r="20" spans="1:11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J20" s="7">
        <v>2</v>
      </c>
      <c r="K20" s="1">
        <v>15073.563733958328</v>
      </c>
    </row>
    <row r="21" spans="1:11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  <c r="J21" s="7">
        <v>3</v>
      </c>
      <c r="K21" s="1">
        <v>15355.31836681528</v>
      </c>
    </row>
    <row r="22" spans="1:11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  <c r="J22" s="7">
        <v>4</v>
      </c>
      <c r="K22" s="1">
        <v>13850.656311199999</v>
      </c>
    </row>
    <row r="23" spans="1:11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  <c r="J23" s="7">
        <v>5</v>
      </c>
      <c r="K23" s="1">
        <v>8786.0352472222221</v>
      </c>
    </row>
    <row r="24" spans="1:11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  <c r="J24" s="7" t="s">
        <v>17</v>
      </c>
      <c r="K24" s="1">
        <v>13270.422265141251</v>
      </c>
    </row>
    <row r="25" spans="1:11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11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11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11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11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11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11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11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305B-1336-4AD8-A67A-C32544C80DEA}">
  <dimension ref="A1:K1339"/>
  <sheetViews>
    <sheetView workbookViewId="0">
      <selection activeCell="Q7" sqref="Q7"/>
    </sheetView>
  </sheetViews>
  <sheetFormatPr defaultRowHeight="14.4" x14ac:dyDescent="0.3"/>
  <cols>
    <col min="9" max="9" width="12.5546875" bestFit="1" customWidth="1"/>
    <col min="10" max="10" width="13.88671875" bestFit="1" customWidth="1"/>
    <col min="11" max="11" width="1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1" ht="18" x14ac:dyDescent="0.3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I3" s="5" t="s">
        <v>39</v>
      </c>
    </row>
    <row r="4" spans="1:11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1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  <c r="I5" s="6" t="s">
        <v>5</v>
      </c>
      <c r="J5" t="s">
        <v>14</v>
      </c>
      <c r="K5" t="s">
        <v>13</v>
      </c>
    </row>
    <row r="6" spans="1:11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  <c r="I6" s="7" t="s">
        <v>16</v>
      </c>
      <c r="J6" s="1">
        <v>29.17350308641976</v>
      </c>
      <c r="K6" s="1">
        <v>13406.3845163858</v>
      </c>
    </row>
    <row r="7" spans="1:11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I7" s="7" t="s">
        <v>15</v>
      </c>
      <c r="J7" s="1">
        <v>29.199784615384626</v>
      </c>
      <c r="K7" s="1">
        <v>12417.575373969228</v>
      </c>
    </row>
    <row r="8" spans="1:11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I8" s="7" t="s">
        <v>12</v>
      </c>
      <c r="J8" s="1">
        <v>33.355989010989028</v>
      </c>
      <c r="K8" s="1">
        <v>14735.411437609895</v>
      </c>
    </row>
    <row r="9" spans="1:11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  <c r="I9" s="7" t="s">
        <v>9</v>
      </c>
      <c r="J9" s="1">
        <v>30.596615384615379</v>
      </c>
      <c r="K9" s="1">
        <v>12346.93737729231</v>
      </c>
    </row>
    <row r="10" spans="1:11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  <c r="I10" s="7" t="s">
        <v>17</v>
      </c>
      <c r="J10" s="1">
        <v>30.663396860986559</v>
      </c>
      <c r="K10" s="1">
        <v>13270.422265141242</v>
      </c>
    </row>
    <row r="11" spans="1:11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1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</row>
    <row r="13" spans="1:11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11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11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11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ACC0-D652-4B8B-BFFB-20A0FAA6729D}">
  <dimension ref="A1:K1339"/>
  <sheetViews>
    <sheetView showGridLines="0" workbookViewId="0">
      <selection activeCell="T16" sqref="T16"/>
    </sheetView>
  </sheetViews>
  <sheetFormatPr defaultRowHeight="14.4" x14ac:dyDescent="0.3"/>
  <cols>
    <col min="10" max="10" width="12.5546875" bestFit="1" customWidth="1"/>
    <col min="11" max="11" width="14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1" ht="18" x14ac:dyDescent="0.3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J3" s="5" t="s">
        <v>40</v>
      </c>
    </row>
    <row r="4" spans="1:11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1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  <c r="J5" s="6" t="s">
        <v>5</v>
      </c>
      <c r="K5" t="s">
        <v>30</v>
      </c>
    </row>
    <row r="6" spans="1:11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  <c r="J6" s="7" t="s">
        <v>16</v>
      </c>
      <c r="K6">
        <v>4343668.5833089994</v>
      </c>
    </row>
    <row r="7" spans="1:11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J7" s="7" t="s">
        <v>15</v>
      </c>
      <c r="K7">
        <v>4035711.9965399993</v>
      </c>
    </row>
    <row r="8" spans="1:11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J8" s="7" t="s">
        <v>12</v>
      </c>
      <c r="K8">
        <v>5363689.763290002</v>
      </c>
    </row>
    <row r="9" spans="1:11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  <c r="J9" s="7" t="s">
        <v>9</v>
      </c>
      <c r="K9">
        <v>4012754.6476200009</v>
      </c>
    </row>
    <row r="10" spans="1:11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  <c r="J10" s="7" t="s">
        <v>17</v>
      </c>
      <c r="K10">
        <v>17755824.990759</v>
      </c>
    </row>
    <row r="11" spans="1:11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1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</row>
    <row r="13" spans="1:11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11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11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11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3427-A7A7-407B-B960-73F82AAEEAAC}">
  <dimension ref="A1:L1339"/>
  <sheetViews>
    <sheetView workbookViewId="0">
      <selection activeCell="S10" sqref="S10"/>
    </sheetView>
  </sheetViews>
  <sheetFormatPr defaultRowHeight="14.4" x14ac:dyDescent="0.3"/>
  <cols>
    <col min="11" max="11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2" ht="18" x14ac:dyDescent="0.3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J3" s="5" t="s">
        <v>41</v>
      </c>
    </row>
    <row r="4" spans="1:12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2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</row>
    <row r="6" spans="1:12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  <c r="J6" s="8" t="s">
        <v>50</v>
      </c>
      <c r="K6" s="8" t="s">
        <v>51</v>
      </c>
      <c r="L6" s="8" t="s">
        <v>52</v>
      </c>
    </row>
    <row r="7" spans="1:12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J7" s="8" t="s">
        <v>46</v>
      </c>
      <c r="K7" s="8" t="s">
        <v>42</v>
      </c>
      <c r="L7" s="13">
        <f>COUNTIFS(C:C,"&lt;18.5")</f>
        <v>20</v>
      </c>
    </row>
    <row r="8" spans="1:12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J8" s="8" t="s">
        <v>47</v>
      </c>
      <c r="K8" s="8" t="s">
        <v>43</v>
      </c>
      <c r="L8" s="13">
        <f>COUNTIFS(C:C,"&gt;=18.5",C:C,"&lt;=24.9")</f>
        <v>222</v>
      </c>
    </row>
    <row r="9" spans="1:12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  <c r="J9" s="8" t="s">
        <v>48</v>
      </c>
      <c r="K9" s="8" t="s">
        <v>44</v>
      </c>
      <c r="L9" s="13">
        <f>COUNTIFS(C:C,"&gt;=25",C:C,"&lt;=29.9")</f>
        <v>377</v>
      </c>
    </row>
    <row r="10" spans="1:12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  <c r="J10" s="8" t="s">
        <v>49</v>
      </c>
      <c r="K10" s="8" t="s">
        <v>45</v>
      </c>
      <c r="L10" s="13">
        <f>COUNTIF(C:C,"&gt;=30")</f>
        <v>707</v>
      </c>
    </row>
    <row r="11" spans="1:12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2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</row>
    <row r="13" spans="1:12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12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12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12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727C-A9A1-4C5A-ADA6-2A4F5491545E}">
  <dimension ref="A1:L1339"/>
  <sheetViews>
    <sheetView workbookViewId="0">
      <selection activeCell="S19" sqref="S1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2" ht="18" x14ac:dyDescent="0.3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I3" s="5" t="s">
        <v>53</v>
      </c>
    </row>
    <row r="4" spans="1:12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2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  <c r="I5" s="13" t="s">
        <v>35</v>
      </c>
      <c r="L5" s="13">
        <f>CORREL(C:C,G:G)</f>
        <v>0.19834096883362906</v>
      </c>
    </row>
    <row r="6" spans="1:12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</row>
    <row r="7" spans="1:12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12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12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</row>
    <row r="10" spans="1:12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</row>
    <row r="11" spans="1:12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</row>
    <row r="12" spans="1:12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</row>
    <row r="13" spans="1:12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12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12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12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DC5F-0560-4A7B-BA81-8C83BC96E94A}">
  <dimension ref="A1:J1339"/>
  <sheetViews>
    <sheetView showGridLines="0" tabSelected="1" topLeftCell="C1" zoomScale="93" workbookViewId="0">
      <selection activeCell="R11" sqref="R11"/>
    </sheetView>
  </sheetViews>
  <sheetFormatPr defaultRowHeight="14.4" x14ac:dyDescent="0.3"/>
  <cols>
    <col min="9" max="9" width="16" bestFit="1" customWidth="1"/>
    <col min="10" max="10" width="14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ht="18" x14ac:dyDescent="0.3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  <c r="I2" s="5" t="s">
        <v>55</v>
      </c>
    </row>
    <row r="3" spans="1:10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10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10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15</v>
      </c>
      <c r="G5">
        <v>21984.47061</v>
      </c>
      <c r="I5" s="6" t="s">
        <v>54</v>
      </c>
      <c r="J5" t="s">
        <v>30</v>
      </c>
    </row>
    <row r="6" spans="1:10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15</v>
      </c>
      <c r="G6">
        <v>3866.8552</v>
      </c>
      <c r="I6" s="7" t="s">
        <v>8</v>
      </c>
      <c r="J6">
        <v>8781763.5218399987</v>
      </c>
    </row>
    <row r="7" spans="1:10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I7" s="14" t="s">
        <v>16</v>
      </c>
      <c r="J7">
        <v>1988126.9436799996</v>
      </c>
    </row>
    <row r="8" spans="1:10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I8" s="14" t="s">
        <v>15</v>
      </c>
      <c r="J8">
        <v>1751136.1845799994</v>
      </c>
    </row>
    <row r="9" spans="1:10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15</v>
      </c>
      <c r="G9">
        <v>7281.5056000000004</v>
      </c>
      <c r="I9" s="14" t="s">
        <v>12</v>
      </c>
      <c r="J9">
        <v>3170894.7109500007</v>
      </c>
    </row>
    <row r="10" spans="1:10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16</v>
      </c>
      <c r="G10">
        <v>6406.4107000000004</v>
      </c>
      <c r="I10" s="14" t="s">
        <v>9</v>
      </c>
      <c r="J10">
        <v>1871605.6826299995</v>
      </c>
    </row>
    <row r="11" spans="1:10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15</v>
      </c>
      <c r="G11">
        <v>28923.136920000001</v>
      </c>
      <c r="I11" s="7" t="s">
        <v>17</v>
      </c>
      <c r="J11">
        <v>8781763.5218399987</v>
      </c>
    </row>
    <row r="12" spans="1:10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16</v>
      </c>
      <c r="G12">
        <v>2721.3208</v>
      </c>
    </row>
    <row r="13" spans="1:10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10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I14" s="14" t="s">
        <v>16</v>
      </c>
      <c r="J14">
        <v>1988126.9436799996</v>
      </c>
    </row>
    <row r="15" spans="1:10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I15" s="14" t="s">
        <v>15</v>
      </c>
      <c r="J15">
        <v>1751136.1845799994</v>
      </c>
    </row>
    <row r="16" spans="1:10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  <c r="I16" s="14" t="s">
        <v>12</v>
      </c>
      <c r="J16">
        <v>3170894.7109500007</v>
      </c>
    </row>
    <row r="17" spans="1:10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I17" s="14" t="s">
        <v>9</v>
      </c>
      <c r="J17">
        <v>1871605.6826299995</v>
      </c>
    </row>
    <row r="18" spans="1:10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16</v>
      </c>
      <c r="G18">
        <v>10797.3362</v>
      </c>
    </row>
    <row r="19" spans="1:10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16</v>
      </c>
      <c r="G19">
        <v>2395.17155</v>
      </c>
    </row>
    <row r="20" spans="1:10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10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10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16</v>
      </c>
      <c r="G22">
        <v>13228.846949999999</v>
      </c>
    </row>
    <row r="23" spans="1:10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10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10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16</v>
      </c>
      <c r="G25">
        <v>37701.876799999998</v>
      </c>
    </row>
    <row r="26" spans="1:10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15</v>
      </c>
      <c r="G26">
        <v>6203.90175</v>
      </c>
    </row>
    <row r="27" spans="1:10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10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16</v>
      </c>
      <c r="G28">
        <v>14451.835150000001</v>
      </c>
    </row>
    <row r="29" spans="1:10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15</v>
      </c>
      <c r="G29">
        <v>12268.632250000001</v>
      </c>
    </row>
    <row r="30" spans="1:10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15</v>
      </c>
      <c r="G30">
        <v>2775.1921499999999</v>
      </c>
    </row>
    <row r="31" spans="1:10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10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16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15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15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15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16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16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16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16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15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16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15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15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15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16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15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16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15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15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15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15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16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15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16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15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16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16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15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15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15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15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15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15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16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15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16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16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16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15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15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15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15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16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16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15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16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15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16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15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16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15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16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16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15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16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15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16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16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15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15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15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15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15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16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16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16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15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16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15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15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16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15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15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16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16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15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15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16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15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16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15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16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15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15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15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15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16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15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15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16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16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16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15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15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15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16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16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16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15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15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15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16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16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16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15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16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16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16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16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15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15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15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16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15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16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16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15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16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15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16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15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16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16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16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16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16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15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16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16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16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15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15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16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16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15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16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15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16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15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16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15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16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15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16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16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16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15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16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15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15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16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16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15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16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15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16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16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16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15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15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16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15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16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16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16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15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15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16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15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16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16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15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16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15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16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16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16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15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15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15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16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15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16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16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16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15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15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15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16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15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16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16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15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15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16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16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16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16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16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15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15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15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16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16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15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15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16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15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15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15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15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16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16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15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15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16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16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16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15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16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15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15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16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15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15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16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16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16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15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15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15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16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16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16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15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16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16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16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15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16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16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16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16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15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15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16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16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15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16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16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15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15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15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16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15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15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15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15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16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16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15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16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16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16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15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16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15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16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15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16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16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16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15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15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15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16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15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16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16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16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16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16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15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15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16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15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16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16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15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16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16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15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16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15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16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15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16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16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16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15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16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16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16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15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16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16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15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15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15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15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16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16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16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15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15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15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16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15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16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15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15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15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16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16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15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16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15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15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15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15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16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16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15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16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16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16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15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16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16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16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15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15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15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15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15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15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16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16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16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16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16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16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16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15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15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16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15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15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15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16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15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16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15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16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16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15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15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16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16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15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15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15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16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15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16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15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16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15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15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15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16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16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16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15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15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15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15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15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16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16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15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16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16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15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16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15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16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16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16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15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15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16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16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16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15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15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16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16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15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16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15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15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15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16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16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16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15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15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16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16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16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16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15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16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15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15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15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16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15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16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16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15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16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15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16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15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16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15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15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15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16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15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15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16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15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15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15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16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16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15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16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16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16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16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16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16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15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15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16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16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16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15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16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16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15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15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16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15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16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15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16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16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15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15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15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15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15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15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15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16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15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16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16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15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15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16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15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15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16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16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16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15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16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15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15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16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16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15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15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15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15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16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15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16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15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16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16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16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15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15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15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16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15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16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15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16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16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16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16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15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15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16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15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16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16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15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15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16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16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15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16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15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15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15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15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15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15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15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16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15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15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15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16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15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16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15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16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15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16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15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16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15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15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15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16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16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15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16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16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15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15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16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15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16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16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15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15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15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15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15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15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15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15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16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15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16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15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16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15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16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15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16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16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16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16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15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15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15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16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15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16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15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16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16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15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15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15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16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16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16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16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15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15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16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15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16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15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15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16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16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16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16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15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16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16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15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15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15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16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16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15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15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15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15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16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16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15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15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16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15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16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16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16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15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16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15</v>
      </c>
      <c r="G1339">
        <v>29141.3603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F80B-9A0C-4303-8101-4D0E5DC0C1B4}">
  <dimension ref="A1"/>
  <sheetViews>
    <sheetView showGridLines="0" zoomScale="79" workbookViewId="0">
      <selection activeCell="AE19" sqref="AE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SHEET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suryawanshi</dc:creator>
  <cp:lastModifiedBy>ashwin suryawanshi</cp:lastModifiedBy>
  <cp:lastPrinted>2024-12-13T14:49:15Z</cp:lastPrinted>
  <dcterms:created xsi:type="dcterms:W3CDTF">2024-12-11T13:45:03Z</dcterms:created>
  <dcterms:modified xsi:type="dcterms:W3CDTF">2024-12-13T15:13:20Z</dcterms:modified>
</cp:coreProperties>
</file>